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11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1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lena\Desktop\CLSE 115\Workbooks\VBA Workbooks\"/>
    </mc:Choice>
  </mc:AlternateContent>
  <bookViews>
    <workbookView xWindow="0" yWindow="0" windowWidth="24000" windowHeight="8910" firstSheet="9" activeTab="15"/>
  </bookViews>
  <sheets>
    <sheet name="Student Info" sheetId="10" r:id="rId1"/>
    <sheet name="InClass UsrFrm" sheetId="18" r:id="rId2"/>
    <sheet name="HMUsrFrm" sheetId="19" r:id="rId3"/>
    <sheet name="Dec1" sheetId="20" r:id="rId4"/>
    <sheet name="Dec1_Changed" sheetId="29" r:id="rId5"/>
    <sheet name="Dec2" sheetId="21" r:id="rId6"/>
    <sheet name="Your Own Version of Dec2" sheetId="25" r:id="rId7"/>
    <sheet name="YourOwn_IF_Then" sheetId="22" r:id="rId8"/>
    <sheet name="ColorCode" sheetId="26" r:id="rId9"/>
    <sheet name="SimpForNext" sheetId="28" r:id="rId10"/>
    <sheet name="CountDown" sheetId="32" r:id="rId11"/>
    <sheet name="myFile" sheetId="33" r:id="rId12"/>
    <sheet name="RemoveDuplicates" sheetId="39" r:id="rId13"/>
    <sheet name="Addresses" sheetId="41" r:id="rId14"/>
    <sheet name="AddLoop" sheetId="42" r:id="rId15"/>
    <sheet name="CreateUROwnElseIF" sheetId="27" r:id="rId16"/>
  </sheets>
  <externalReferences>
    <externalReference r:id="rId17"/>
    <externalReference r:id="rId18"/>
  </externalReferences>
  <definedNames>
    <definedName name="A">'[1]Adding and Subtracting'!$B$8:$C$10</definedName>
    <definedName name="A0">'Your Own Version of Dec2'!$N$4</definedName>
    <definedName name="At">'Your Own Version of Dec2'!$N$3</definedName>
    <definedName name="B">'[1]Adding and Subtracting'!$B$12:$C$14</definedName>
    <definedName name="Cmbust">[2]Burner!$M$24:$Q$28</definedName>
    <definedName name="Co">[1]FertCo!$O$14:$O$16</definedName>
    <definedName name="CrY" localSheetId="12">#REF!</definedName>
    <definedName name="CrY">#REF!</definedName>
    <definedName name="CrZ" localSheetId="12">#REF!</definedName>
    <definedName name="CrZ">#REF!</definedName>
    <definedName name="Dh">'Dec2'!$G$4</definedName>
    <definedName name="E">'[1]Adding and Subtracting'!$M$15:$P$20</definedName>
    <definedName name="eq">[2]Burner!$T$24:$T$28</definedName>
    <definedName name="f">'Dec2'!$G$8</definedName>
    <definedName name="Fert">[1]FertCo!$K$14:$M$16</definedName>
    <definedName name="goalerror">'Your Own Version of Dec2'!$N$11</definedName>
    <definedName name="GT">[2]Transposing!$O$5:$Q$6</definedName>
    <definedName name="k">'Your Own Version of Dec2'!$N$8</definedName>
    <definedName name="M">'[2]4eq 4unk'!$D$13:$G$16</definedName>
    <definedName name="MassFlow2">'[2]Adding and Subtracting'!$D$9:$E$11</definedName>
    <definedName name="MFLO">[1]MassFlow!$C$23:$E$25</definedName>
    <definedName name="NonSg">[2]Inverting!$B$15:$G$22</definedName>
    <definedName name="objective">'Dec2'!$G$11</definedName>
    <definedName name="OhYeah">[2]Multiplying!$L$19:$M$21</definedName>
    <definedName name="P">[1]Multiplying!$B$21:$E$28</definedName>
    <definedName name="PT" localSheetId="12">#REF!</definedName>
    <definedName name="PT">#REF!</definedName>
    <definedName name="Q">[1]Scaling!$J$3:$U$17</definedName>
    <definedName name="QW" localSheetId="12">#REF!</definedName>
    <definedName name="QW">#REF!</definedName>
    <definedName name="RAM">[2]Scaling!$K$6:$V$20</definedName>
    <definedName name="Re">'Dec2'!$G$5</definedName>
    <definedName name="Rh">'Dec2'!$G$3</definedName>
    <definedName name="RR">[1]Multiplying!$H$21:$J$24</definedName>
    <definedName name="S">[1]Scaling!$C$7</definedName>
    <definedName name="sA">[1]Scaling!$C$9:$D$11</definedName>
    <definedName name="SqIN">[2]Inverting!$J$12:$M$15</definedName>
    <definedName name="t">'Your Own Version of Dec2'!$N$5</definedName>
    <definedName name="TotFlo">[1]MassFlow!$G$23:$G$25</definedName>
    <definedName name="TRA" localSheetId="12">#REF!</definedName>
    <definedName name="TRA">#REF!</definedName>
    <definedName name="Try">[2]Inverting!$B$28:$E$31</definedName>
    <definedName name="wow">[2]Multiplying!$L$16:$N$17</definedName>
    <definedName name="X">[1]Inverting!$B$7:$F$11</definedName>
    <definedName name="XI">[1]Inverting!$B$19:$F$23</definedName>
    <definedName name="Y">[1]Multiplying!$H$7:$J$9</definedName>
    <definedName name="Z">[1]Multiplying!$B$7:$D$10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25" l="1"/>
  <c r="N9" i="25"/>
  <c r="N11" i="25" l="1"/>
  <c r="G10" i="21" l="1"/>
  <c r="G9" i="21"/>
  <c r="G11" i="21" l="1"/>
</calcChain>
</file>

<file path=xl/sharedStrings.xml><?xml version="1.0" encoding="utf-8"?>
<sst xmlns="http://schemas.openxmlformats.org/spreadsheetml/2006/main" count="179" uniqueCount="124">
  <si>
    <t>m</t>
  </si>
  <si>
    <t>Colebrook Left Side</t>
  </si>
  <si>
    <t>Colebrook Right Side</t>
  </si>
  <si>
    <t>Checks</t>
  </si>
  <si>
    <t>Units</t>
  </si>
  <si>
    <t>Rh</t>
  </si>
  <si>
    <t>Dh</t>
  </si>
  <si>
    <t>Re</t>
  </si>
  <si>
    <t>f</t>
  </si>
  <si>
    <t>Class</t>
  </si>
  <si>
    <t>Product</t>
  </si>
  <si>
    <t>Amount</t>
  </si>
  <si>
    <t>Solvent</t>
  </si>
  <si>
    <t>Ethyl Acetate</t>
  </si>
  <si>
    <t>Reagent</t>
  </si>
  <si>
    <t>Sodium Hydride</t>
  </si>
  <si>
    <t>SM</t>
  </si>
  <si>
    <t>Dithiane-1,4-Diol</t>
  </si>
  <si>
    <t>Toluene</t>
  </si>
  <si>
    <t>Ethanol</t>
  </si>
  <si>
    <t>Methylmagnesium Br</t>
  </si>
  <si>
    <t>4N HCl in Dioxane</t>
  </si>
  <si>
    <t>Diethyl Ether</t>
  </si>
  <si>
    <t>LiAlH4</t>
  </si>
  <si>
    <t>Vinyl Acetate</t>
  </si>
  <si>
    <t>Dimethyl Sulfoxide</t>
  </si>
  <si>
    <t>Tetrahydrofuran</t>
  </si>
  <si>
    <t>n-Butyl Lithium</t>
  </si>
  <si>
    <t>NMP</t>
  </si>
  <si>
    <t>CMIC</t>
  </si>
  <si>
    <t>HMDS</t>
  </si>
  <si>
    <t>Lead Acetate</t>
  </si>
  <si>
    <t>2-MeTHF</t>
  </si>
  <si>
    <t>Thionyl Chloride</t>
  </si>
  <si>
    <t>CDI</t>
  </si>
  <si>
    <t>DMF</t>
  </si>
  <si>
    <t>DMF-DMA</t>
  </si>
  <si>
    <t>Toluimide</t>
  </si>
  <si>
    <t>Hexanes</t>
  </si>
  <si>
    <t>Little</t>
  </si>
  <si>
    <t>The</t>
  </si>
  <si>
    <t>Best</t>
  </si>
  <si>
    <t>Puppies</t>
  </si>
  <si>
    <t>Are</t>
  </si>
  <si>
    <t>little</t>
  </si>
  <si>
    <t>puppies</t>
  </si>
  <si>
    <t>are</t>
  </si>
  <si>
    <t>the</t>
  </si>
  <si>
    <t>best</t>
  </si>
  <si>
    <t xml:space="preserve">Hydraulic Diameter (Dh) </t>
  </si>
  <si>
    <r>
      <t>Roughness Height (</t>
    </r>
    <r>
      <rPr>
        <sz val="11"/>
        <color theme="1"/>
        <rFont val="Calibri"/>
        <family val="2"/>
      </rPr>
      <t>ε)</t>
    </r>
  </si>
  <si>
    <t>Reynolds Number (Re)</t>
  </si>
  <si>
    <t>Input</t>
  </si>
  <si>
    <t>Value</t>
  </si>
  <si>
    <t>Code Name</t>
  </si>
  <si>
    <t>Output</t>
  </si>
  <si>
    <t>objective</t>
  </si>
  <si>
    <t>Darcy-Weisbach Friction Factor (f)</t>
  </si>
  <si>
    <t>Squared Error</t>
  </si>
  <si>
    <t>ε</t>
  </si>
  <si>
    <t>[A]</t>
  </si>
  <si>
    <t>Initial Reactant Concentration</t>
  </si>
  <si>
    <r>
      <t>[A]</t>
    </r>
    <r>
      <rPr>
        <vertAlign val="subscript"/>
        <sz val="11"/>
        <color theme="1"/>
        <rFont val="Calibri"/>
        <family val="2"/>
        <scheme val="minor"/>
      </rPr>
      <t>0</t>
    </r>
  </si>
  <si>
    <t>Reactant Concentration @ Time t</t>
  </si>
  <si>
    <t>Time</t>
  </si>
  <si>
    <t>t</t>
  </si>
  <si>
    <t>Symbol</t>
  </si>
  <si>
    <t>Reaction Rate Coefficient</t>
  </si>
  <si>
    <t>k</t>
  </si>
  <si>
    <t>M</t>
  </si>
  <si>
    <t>s</t>
  </si>
  <si>
    <t>1/s</t>
  </si>
  <si>
    <t>At</t>
  </si>
  <si>
    <t>A0</t>
  </si>
  <si>
    <t>Rate Law Lefthand Side</t>
  </si>
  <si>
    <t>Rate Law Righthand Side</t>
  </si>
  <si>
    <t>goalerror</t>
  </si>
  <si>
    <t>Trifluoroborane</t>
  </si>
  <si>
    <t>Dichloromethane</t>
  </si>
  <si>
    <t>Magnesium Turnings</t>
  </si>
  <si>
    <t>Menthol</t>
  </si>
  <si>
    <t>Methanol</t>
  </si>
  <si>
    <t>Chloroform</t>
  </si>
  <si>
    <t>Acetyl Chloride</t>
  </si>
  <si>
    <t>Benzene</t>
  </si>
  <si>
    <t>Anisole</t>
  </si>
  <si>
    <t>Malonic Acid</t>
  </si>
  <si>
    <t>Acetone</t>
  </si>
  <si>
    <t>Isopropanol</t>
  </si>
  <si>
    <t>Vilsmeier's Reagent</t>
  </si>
  <si>
    <t>Trimethylsilyl Iodide</t>
  </si>
  <si>
    <t>Peroxyacetate</t>
  </si>
  <si>
    <t>Data w/ Duplicates</t>
  </si>
  <si>
    <t>Data w/out Duplicates</t>
  </si>
  <si>
    <t>Name</t>
  </si>
  <si>
    <t>City</t>
  </si>
  <si>
    <t>Zip</t>
  </si>
  <si>
    <t>Mr. Jones</t>
  </si>
  <si>
    <t>4567 East Street</t>
  </si>
  <si>
    <t>Johnboat Springs, MD</t>
  </si>
  <si>
    <t>Ms. Anow</t>
  </si>
  <si>
    <t>123 Houghton Street</t>
  </si>
  <si>
    <t>Williamsburg, VA</t>
  </si>
  <si>
    <t>Mr. Gronk</t>
  </si>
  <si>
    <t>3049 Patriots Way</t>
  </si>
  <si>
    <t>Boston, MA</t>
  </si>
  <si>
    <t>Ms. Shiffrin</t>
  </si>
  <si>
    <t>1000 SuperG Lane</t>
  </si>
  <si>
    <t>Park City, UT</t>
  </si>
  <si>
    <t>Ms. Antoinette</t>
  </si>
  <si>
    <t>504 Cake Place</t>
  </si>
  <si>
    <t>New York, NY</t>
  </si>
  <si>
    <t>Mr. Bill</t>
  </si>
  <si>
    <t>101 Snell Dr.</t>
  </si>
  <si>
    <t>Oxidant, NJ</t>
  </si>
  <si>
    <t>Ms. Hamid</t>
  </si>
  <si>
    <t>201 Main St.</t>
  </si>
  <si>
    <t>Madison, WI</t>
  </si>
  <si>
    <t>Address</t>
  </si>
  <si>
    <t>Data</t>
  </si>
  <si>
    <t>Pass/Fail</t>
  </si>
  <si>
    <t>Total Class Score</t>
  </si>
  <si>
    <t>Class Grade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</si>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</sst>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5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E1E1FF"/>
        <bgColor indexed="64"/>
      </patternFill>
    </fill>
  </fills>
  <borders count="16">
    <border>
      <left/>
      <right/>
      <top/>
      <bottom/>
      <diagonal/>
    </border>
    <border>
      <left style="thick">
        <color rgb="FF9999FF"/>
      </left>
      <right style="thick">
        <color rgb="FF9999FF"/>
      </right>
      <top style="thick">
        <color rgb="FF9999FF"/>
      </top>
      <bottom style="thick">
        <color rgb="FF9999FF"/>
      </bottom>
      <diagonal/>
    </border>
    <border>
      <left style="thick">
        <color rgb="FF9999FF"/>
      </left>
      <right style="thick">
        <color rgb="FF9999FF"/>
      </right>
      <top style="thick">
        <color rgb="FF9999FF"/>
      </top>
      <bottom/>
      <diagonal/>
    </border>
    <border>
      <left style="thick">
        <color rgb="FF9999FF"/>
      </left>
      <right style="thick">
        <color rgb="FF9999FF"/>
      </right>
      <top/>
      <bottom/>
      <diagonal/>
    </border>
    <border>
      <left style="thick">
        <color rgb="FF9999FF"/>
      </left>
      <right style="thick">
        <color rgb="FF9999FF"/>
      </right>
      <top/>
      <bottom style="thick">
        <color rgb="FF9999FF"/>
      </bottom>
      <diagonal/>
    </border>
    <border>
      <left style="thick">
        <color rgb="FF9999FF"/>
      </left>
      <right/>
      <top style="thick">
        <color rgb="FF9999FF"/>
      </top>
      <bottom/>
      <diagonal/>
    </border>
    <border>
      <left/>
      <right/>
      <top style="thick">
        <color rgb="FF9999FF"/>
      </top>
      <bottom/>
      <diagonal/>
    </border>
    <border>
      <left/>
      <right style="thick">
        <color rgb="FF9999FF"/>
      </right>
      <top style="thick">
        <color rgb="FF9999FF"/>
      </top>
      <bottom/>
      <diagonal/>
    </border>
    <border>
      <left style="thick">
        <color rgb="FF9999FF"/>
      </left>
      <right/>
      <top/>
      <bottom/>
      <diagonal/>
    </border>
    <border>
      <left/>
      <right style="thick">
        <color rgb="FF9999FF"/>
      </right>
      <top/>
      <bottom/>
      <diagonal/>
    </border>
    <border>
      <left style="thick">
        <color rgb="FF9999FF"/>
      </left>
      <right/>
      <top/>
      <bottom style="thick">
        <color rgb="FF9999FF"/>
      </bottom>
      <diagonal/>
    </border>
    <border>
      <left/>
      <right/>
      <top/>
      <bottom style="thick">
        <color rgb="FF9999FF"/>
      </bottom>
      <diagonal/>
    </border>
    <border>
      <left/>
      <right style="thick">
        <color rgb="FF9999FF"/>
      </right>
      <top/>
      <bottom style="thick">
        <color rgb="FF9999FF"/>
      </bottom>
      <diagonal/>
    </border>
    <border>
      <left style="thick">
        <color rgb="FF9999FF"/>
      </left>
      <right/>
      <top style="thick">
        <color rgb="FF9999FF"/>
      </top>
      <bottom style="thick">
        <color rgb="FF9999FF"/>
      </bottom>
      <diagonal/>
    </border>
    <border>
      <left/>
      <right/>
      <top style="thick">
        <color rgb="FF9999FF"/>
      </top>
      <bottom style="thick">
        <color rgb="FF9999FF"/>
      </bottom>
      <diagonal/>
    </border>
    <border>
      <left/>
      <right style="thick">
        <color rgb="FF9999FF"/>
      </right>
      <top style="thick">
        <color rgb="FF9999FF"/>
      </top>
      <bottom style="thick">
        <color rgb="FF9999FF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/>
    <xf numFmtId="0" fontId="3" fillId="4" borderId="1" xfId="0" applyFon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165" fontId="0" fillId="3" borderId="3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1E1FF"/>
      <color rgb="FF9999FF"/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438150</xdr:colOff>
      <xdr:row>7</xdr:row>
      <xdr:rowOff>104774</xdr:rowOff>
    </xdr:from>
    <xdr:ext cx="6715124" cy="3105151"/>
    <xdr:sp macro="" textlink="">
      <xdr:nvSpPr>
        <xdr:cNvPr id="2" name="TextBox 1"/>
        <xdr:cNvSpPr txBox="1"/>
      </xdr:nvSpPr>
      <xdr:spPr>
        <a:xfrm>
          <a:off x="438150" y="1438274"/>
          <a:ext cx="6715124" cy="310515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 b="1"/>
            <a:t>VBA Workbook #3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Due Date: 4/1/2019</a:t>
          </a:r>
        </a:p>
        <a:p>
          <a:endParaRPr lang="en-US" sz="1100"/>
        </a:p>
        <a:p>
          <a:r>
            <a:rPr lang="en-US" sz="1100" b="1"/>
            <a:t>First</a:t>
          </a:r>
          <a:r>
            <a:rPr lang="en-US" sz="1100" b="1" baseline="0"/>
            <a:t> Name:</a:t>
          </a:r>
        </a:p>
        <a:p>
          <a:r>
            <a:rPr lang="en-US" sz="1600" b="1" baseline="0"/>
            <a:t>Elena</a:t>
          </a:r>
        </a:p>
        <a:p>
          <a:endParaRPr lang="en-US" sz="1100" baseline="0"/>
        </a:p>
        <a:p>
          <a:r>
            <a:rPr lang="en-US" sz="1100" b="1" baseline="0"/>
            <a:t>Last Name: </a:t>
          </a:r>
        </a:p>
        <a:p>
          <a:r>
            <a:rPr lang="en-US" sz="1600" b="1" baseline="0"/>
            <a:t>Russell</a:t>
          </a:r>
        </a:p>
        <a:p>
          <a:endParaRPr lang="en-US" sz="1100" b="1" baseline="0"/>
        </a:p>
        <a:p>
          <a:endParaRPr lang="en-US" sz="1100" b="1" baseline="0"/>
        </a:p>
      </xdr:txBody>
    </xdr:sp>
    <xdr:clientData/>
  </xdr:oneCellAnchor>
  <xdr:twoCellAnchor>
    <xdr:from>
      <xdr:col>0</xdr:col>
      <xdr:colOff>0</xdr:colOff>
      <xdr:row>0</xdr:row>
      <xdr:rowOff>114300</xdr:rowOff>
    </xdr:from>
    <xdr:to>
      <xdr:col>2</xdr:col>
      <xdr:colOff>19050</xdr:colOff>
      <xdr:row>6</xdr:row>
      <xdr:rowOff>75565</xdr:rowOff>
    </xdr:to>
    <xdr:grpSp>
      <xdr:nvGrpSpPr>
        <xdr:cNvPr id="3" name="Group 2"/>
        <xdr:cNvGrpSpPr/>
      </xdr:nvGrpSpPr>
      <xdr:grpSpPr>
        <a:xfrm>
          <a:off x="0" y="114300"/>
          <a:ext cx="1238250" cy="1104265"/>
          <a:chOff x="-180975" y="0"/>
          <a:chExt cx="1238250" cy="1104406"/>
        </a:xfrm>
      </xdr:grpSpPr>
      <xdr:pic>
        <xdr:nvPicPr>
          <xdr:cNvPr id="4" name="Picture 3" descr="Image result for vcu engineering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66775" cy="866775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" name="Text Box 2"/>
          <xdr:cNvSpPr txBox="1">
            <a:spLocks noChangeArrowheads="1"/>
          </xdr:cNvSpPr>
        </xdr:nvSpPr>
        <xdr:spPr bwMode="auto">
          <a:xfrm>
            <a:off x="-180975" y="819094"/>
            <a:ext cx="1238250" cy="2853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 marL="0" marR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en-US" sz="1400" b="1" i="1">
                <a:effectLst/>
                <a:latin typeface="Tahoma" panose="020B060403050404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CLSE -115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2</xdr:col>
      <xdr:colOff>202492</xdr:colOff>
      <xdr:row>1</xdr:row>
      <xdr:rowOff>9525</xdr:rowOff>
    </xdr:from>
    <xdr:ext cx="5495094" cy="968983"/>
    <xdr:sp macro="" textlink="">
      <xdr:nvSpPr>
        <xdr:cNvPr id="6" name="TextBox 5"/>
        <xdr:cNvSpPr txBox="1"/>
      </xdr:nvSpPr>
      <xdr:spPr>
        <a:xfrm>
          <a:off x="1421692" y="200025"/>
          <a:ext cx="5495094" cy="968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Introduction to Programming for Chemical and Life Science Engineering</a:t>
          </a:r>
          <a:endParaRPr lang="en-US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 Credits, Spring 2019</a:t>
          </a:r>
        </a:p>
        <a:p>
          <a:pPr algn="ctr"/>
          <a:r>
            <a:rPr lang="en-US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Lecture: Monday &amp; Wednesday, 2pm to 3:15pm</a:t>
          </a:r>
        </a:p>
        <a:p>
          <a:pPr algn="ctr"/>
          <a:r>
            <a:rPr lang="en-US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Lab: Friday, 11:00-11:50am (section 1) or 12:00-12:50 (section 2)</a:t>
          </a:r>
          <a:endParaRPr lang="en-US" sz="14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6" name="TextBox 5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InClass UsrFrm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03/29/2019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HMUsrFrm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03/31/2019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1</xdr:colOff>
      <xdr:row>1</xdr:row>
      <xdr:rowOff>0</xdr:rowOff>
    </xdr:from>
    <xdr:ext cx="1828800" cy="952500"/>
    <xdr:sp macro="" textlink="">
      <xdr:nvSpPr>
        <xdr:cNvPr id="16" name="TextBox 15"/>
        <xdr:cNvSpPr txBox="1"/>
      </xdr:nvSpPr>
      <xdr:spPr>
        <a:xfrm>
          <a:off x="3048001" y="190500"/>
          <a:ext cx="1828800" cy="952500"/>
        </a:xfrm>
        <a:prstGeom prst="rect">
          <a:avLst/>
        </a:prstGeom>
        <a:solidFill>
          <a:schemeClr val="bg1"/>
        </a:solidFill>
        <a:ln w="28575">
          <a:solidFill>
            <a:srgbClr val="9999FF"/>
          </a:solidFill>
        </a:ln>
        <a:effectLst/>
      </xdr:spPr>
      <xdr:txBody>
        <a:bodyPr vertOverflow="clip" horzOverflow="clip" wrap="square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Instructions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Using a different formula, create a different calculator/userform.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Dec1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03/29/2019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Dec1_Changed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03/31/2019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4337" name="CommandButton4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</xdr:row>
      <xdr:rowOff>468</xdr:rowOff>
    </xdr:from>
    <xdr:ext cx="3048000" cy="1218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8848725" y="200493"/>
              <a:ext cx="3048000" cy="1218732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rgbClr val="9999FF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 b="1" i="0">
                  <a:latin typeface="+mn-lt"/>
                </a:rPr>
                <a:t>Colebrook</a:t>
              </a:r>
              <a:r>
                <a:rPr lang="en-US" sz="1100" b="1" i="0" baseline="0">
                  <a:latin typeface="+mn-lt"/>
                </a:rPr>
                <a:t> Equation</a:t>
              </a:r>
            </a:p>
            <a:p>
              <a:r>
                <a:rPr lang="en-US" sz="1100" b="0" i="0" baseline="0">
                  <a:latin typeface="+mn-lt"/>
                </a:rPr>
                <a:t>A method to determine Darcy-Weisbach friction factor for turbulent pipe flow.</a:t>
              </a:r>
            </a:p>
            <a:p>
              <a:endParaRPr lang="en-US" sz="1100" b="0" i="0">
                <a:latin typeface="+mn-lt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𝒇</m:t>
                            </m:r>
                          </m:e>
                        </m:rad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𝟐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𝑳𝒐𝒈</m:t>
                    </m:r>
                    <m:r>
                      <a:rPr lang="en-US" sz="1100" b="1" i="1" baseline="-25000">
                        <a:latin typeface="Cambria Math" panose="02040503050406030204" pitchFamily="18" charset="0"/>
                      </a:rPr>
                      <m:t>𝟏𝟎</m:t>
                    </m:r>
                    <m:d>
                      <m:d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𝜺</m:t>
                            </m:r>
                          </m:num>
                          <m:den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𝟑</m:t>
                            </m:r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.</m:t>
                            </m:r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𝟕</m:t>
                            </m:r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𝑫𝒉</m:t>
                            </m:r>
                          </m:den>
                        </m:f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.</m:t>
                            </m:r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𝟓𝟏</m:t>
                            </m:r>
                          </m:num>
                          <m:den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𝑹𝒆</m:t>
                            </m:r>
                            <m:rad>
                              <m:radPr>
                                <m:degHide m:val="on"/>
                                <m:ctrlPr>
                                  <a:rPr lang="en-US" sz="1100" b="1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100" b="1" i="1">
                                    <a:latin typeface="Cambria Math" panose="02040503050406030204" pitchFamily="18" charset="0"/>
                                  </a:rPr>
                                  <m:t>𝒇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n-US" sz="1100" b="1" i="0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848725" y="200493"/>
              <a:ext cx="3048000" cy="1218732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rgbClr val="9999FF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 b="1" i="0">
                  <a:latin typeface="+mn-lt"/>
                </a:rPr>
                <a:t>Colebrook</a:t>
              </a:r>
              <a:r>
                <a:rPr lang="en-US" sz="1100" b="1" i="0" baseline="0">
                  <a:latin typeface="+mn-lt"/>
                </a:rPr>
                <a:t> Equation</a:t>
              </a:r>
            </a:p>
            <a:p>
              <a:r>
                <a:rPr lang="en-US" sz="1100" b="0" i="0" baseline="0">
                  <a:latin typeface="+mn-lt"/>
                </a:rPr>
                <a:t>A method to determine Darcy-Weisbach friction factor for turbulent pipe flow.</a:t>
              </a:r>
            </a:p>
            <a:p>
              <a:endParaRPr lang="en-US" sz="1100" b="0" i="0">
                <a:latin typeface="+mn-lt"/>
              </a:endParaRPr>
            </a:p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𝟏/√𝒇=−𝟐𝑳𝒐𝒈</a:t>
              </a:r>
              <a:r>
                <a:rPr lang="en-US" sz="1100" b="1" i="0" baseline="-25000">
                  <a:latin typeface="Cambria Math" panose="02040503050406030204" pitchFamily="18" charset="0"/>
                </a:rPr>
                <a:t>𝟏𝟎</a:t>
              </a:r>
              <a:r>
                <a:rPr lang="en-US" sz="1100" b="1" i="0">
                  <a:latin typeface="Cambria Math" panose="02040503050406030204" pitchFamily="18" charset="0"/>
                </a:rPr>
                <a:t>(</a:t>
              </a:r>
              <a:r>
                <a:rPr lang="en-US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𝜺/(</a:t>
              </a:r>
              <a:r>
                <a:rPr lang="en-US" sz="1100" b="1" i="0">
                  <a:latin typeface="Cambria Math" panose="02040503050406030204" pitchFamily="18" charset="0"/>
                </a:rPr>
                <a:t>𝟑.𝟕𝑫𝒉)+(𝟐.𝟓𝟏)/(𝑹𝒆√𝒇))  </a:t>
              </a:r>
              <a:endParaRPr lang="en-US" sz="1100" b="1"/>
            </a:p>
          </xdr:txBody>
        </xdr:sp>
      </mc:Fallback>
    </mc:AlternateContent>
    <xdr:clientData/>
  </xdr:oneCellAnchor>
  <xdr:twoCellAnchor>
    <xdr:from>
      <xdr:col>1</xdr:col>
      <xdr:colOff>0</xdr:colOff>
      <xdr:row>0</xdr:row>
      <xdr:rowOff>200024</xdr:rowOff>
    </xdr:from>
    <xdr:to>
      <xdr:col>4</xdr:col>
      <xdr:colOff>0</xdr:colOff>
      <xdr:row>5</xdr:row>
      <xdr:rowOff>200024</xdr:rowOff>
    </xdr:to>
    <xdr:sp macro="" textlink="">
      <xdr:nvSpPr>
        <xdr:cNvPr id="4" name="TextBox 3"/>
        <xdr:cNvSpPr txBox="1"/>
      </xdr:nvSpPr>
      <xdr:spPr>
        <a:xfrm>
          <a:off x="609600" y="200024"/>
          <a:ext cx="1828800" cy="1000125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Dec2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03/29/2019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3048000" cy="838200"/>
    <xdr:sp macro="" textlink="">
      <xdr:nvSpPr>
        <xdr:cNvPr id="2" name="TextBox 1"/>
        <xdr:cNvSpPr txBox="1"/>
      </xdr:nvSpPr>
      <xdr:spPr>
        <a:xfrm>
          <a:off x="3048000" y="200025"/>
          <a:ext cx="3048000" cy="838200"/>
        </a:xfrm>
        <a:prstGeom prst="rect">
          <a:avLst/>
        </a:prstGeom>
        <a:solidFill>
          <a:schemeClr val="bg1"/>
        </a:solidFill>
        <a:ln w="28575">
          <a:solidFill>
            <a:srgbClr val="9999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/>
            <a:t>Instructions</a:t>
          </a:r>
        </a:p>
        <a:p>
          <a:pPr algn="l"/>
          <a:r>
            <a:rPr lang="en-US" sz="1100" b="0"/>
            <a:t>Using</a:t>
          </a:r>
          <a:r>
            <a:rPr lang="en-US" sz="1100" b="0" baseline="0"/>
            <a:t> a different formula, create a different automated iterative calculator using the GoalSeek approach used in Dec2.</a:t>
          </a:r>
          <a:endParaRPr lang="en-US" sz="1100" b="0"/>
        </a:p>
      </xdr:txBody>
    </xdr:sp>
    <xdr:clientData/>
  </xdr:oneCellAnchor>
  <xdr:twoCellAnchor>
    <xdr:from>
      <xdr:col>1</xdr:col>
      <xdr:colOff>0</xdr:colOff>
      <xdr:row>1</xdr:row>
      <xdr:rowOff>1</xdr:rowOff>
    </xdr:from>
    <xdr:to>
      <xdr:col>4</xdr:col>
      <xdr:colOff>0</xdr:colOff>
      <xdr:row>6</xdr:row>
      <xdr:rowOff>1</xdr:rowOff>
    </xdr:to>
    <xdr:sp macro="" textlink="">
      <xdr:nvSpPr>
        <xdr:cNvPr id="4" name="TextBox 3"/>
        <xdr:cNvSpPr txBox="1"/>
      </xdr:nvSpPr>
      <xdr:spPr>
        <a:xfrm>
          <a:off x="609600" y="190501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Your Own Version of Dec2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03/31/2019</a:t>
          </a:r>
        </a:p>
      </xdr:txBody>
    </xdr:sp>
    <xdr:clientData/>
  </xdr:twoCellAnchor>
  <xdr:oneCellAnchor>
    <xdr:from>
      <xdr:col>5</xdr:col>
      <xdr:colOff>0</xdr:colOff>
      <xdr:row>6</xdr:row>
      <xdr:rowOff>0</xdr:rowOff>
    </xdr:from>
    <xdr:ext cx="3048000" cy="25241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048000" y="1247775"/>
              <a:ext cx="3048000" cy="2524125"/>
            </a:xfrm>
            <a:prstGeom prst="rect">
              <a:avLst/>
            </a:prstGeom>
            <a:solidFill>
              <a:sysClr val="window" lastClr="FFFFFF"/>
            </a:solidFill>
            <a:ln w="28575">
              <a:solidFill>
                <a:srgbClr val="9999FF"/>
              </a:solidFill>
            </a:ln>
            <a:effectLst/>
          </xdr:spPr>
          <xdr:txBody>
            <a:bodyPr vertOverflow="clip" horzOverflow="clip" wrap="square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Explanation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This calculator uses the goal seek to determine the reaction rate coefficient (k) used in the following form of the rate law for first order reactions: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["/>
                        <m:endChr m:val="]"/>
                        <m:ctrlP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𝑨</m:t>
                        </m:r>
                      </m:e>
                    </m:d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𝑨</m:t>
                        </m:r>
                      </m:e>
                    </m:d>
                    <m:r>
                      <a:rPr kumimoji="0" lang="en-US" sz="1400" b="1" i="1" u="none" strike="noStrike" kern="0" cap="none" spc="0" normalizeH="0" baseline="-2500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𝟎</m:t>
                    </m:r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𝒆</m:t>
                    </m:r>
                    <m:r>
                      <a:rPr kumimoji="0" lang="en-US" sz="1400" b="1" i="1" u="none" strike="noStrike" kern="0" cap="none" spc="0" normalizeH="0" baseline="2000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kumimoji="0" lang="en-US" sz="1400" b="1" i="1" u="none" strike="noStrike" kern="0" cap="none" spc="0" normalizeH="0" baseline="3000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𝒌𝒕</m:t>
                    </m:r>
                  </m:oMath>
                </m:oMathPara>
              </a14:m>
              <a:endParaRPr kumimoji="0" lang="en-US" sz="1100" b="1" i="0" u="none" strike="noStrike" kern="0" cap="none" spc="0" normalizeH="0" baseline="3000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Where: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[A]   -   Concentration of reactant at time t (M)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[A]</a:t>
              </a:r>
              <a:r>
                <a:rPr kumimoji="0" lang="en-US" sz="1100" b="0" i="0" u="none" strike="noStrike" kern="0" cap="none" spc="0" normalizeH="0" baseline="-2500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0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 -   Initial concentration of reactant (M)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k      -    Reaction rate coefficient (1/s)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       -    Time (s)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048000" y="1247775"/>
              <a:ext cx="3048000" cy="2524125"/>
            </a:xfrm>
            <a:prstGeom prst="rect">
              <a:avLst/>
            </a:prstGeom>
            <a:solidFill>
              <a:sysClr val="window" lastClr="FFFFFF"/>
            </a:solidFill>
            <a:ln w="28575">
              <a:solidFill>
                <a:srgbClr val="9999FF"/>
              </a:solidFill>
            </a:ln>
            <a:effectLst/>
          </xdr:spPr>
          <xdr:txBody>
            <a:bodyPr vertOverflow="clip" horzOverflow="clip" wrap="square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Explanation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This calculator uses the goal seek to determine the reaction rate coefficient (k) used in the following form of the rate law for first order reactions: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[𝑨]=[𝑨]</a:t>
              </a:r>
              <a:r>
                <a:rPr kumimoji="0" lang="en-US" sz="1400" b="1" i="0" u="none" strike="noStrike" kern="0" cap="none" spc="0" normalizeH="0" baseline="-2500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𝟎</a:t>
              </a: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𝒆</a:t>
              </a:r>
              <a:r>
                <a:rPr kumimoji="0" lang="en-US" sz="1400" b="1" i="0" u="none" strike="noStrike" kern="0" cap="none" spc="0" normalizeH="0" baseline="2000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kumimoji="0" lang="en-US" sz="1400" b="1" i="0" u="none" strike="noStrike" kern="0" cap="none" spc="0" normalizeH="0" baseline="3000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𝒌𝒕</a:t>
              </a:r>
              <a:endParaRPr kumimoji="0" lang="en-US" sz="1100" b="1" i="0" u="none" strike="noStrike" kern="0" cap="none" spc="0" normalizeH="0" baseline="3000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Where: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[A]   -   Concentration of reactant at time t (M)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[A]</a:t>
              </a:r>
              <a:r>
                <a:rPr kumimoji="0" lang="en-US" sz="1100" b="0" i="0" u="none" strike="noStrike" kern="0" cap="none" spc="0" normalizeH="0" baseline="-2500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0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 -   Initial concentration of reactant (M)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k      -    Reaction rate coefficient (1/s)</a:t>
              </a:r>
            </a:p>
            <a:p>
              <a:pPr marL="171450" marR="0" lvl="0" indent="-17145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 typeface="Arial" panose="020B0604020202020204" pitchFamily="34" charset="0"/>
                <a:buChar char="•"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       -    Time (s)</a:t>
              </a: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YourOwn_IF_Then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03/31/2019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7409" name="CommandButton2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209550"/>
          <a:ext cx="1828800" cy="97155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ColorCode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2289" name="CommandButton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1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5" name="TextBox 4"/>
        <xdr:cNvSpPr txBox="1"/>
      </xdr:nvSpPr>
      <xdr:spPr>
        <a:xfrm>
          <a:off x="7800975" y="200025"/>
          <a:ext cx="3657600" cy="2314575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Explanation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Consider if the table was located in A1:C40. If i was changed to 10 in the For/Next approach code, then the loop would color code the data starting at row 10 instead of row 2. If i was changed to 1 in the For/Next approach code, then the loop would color code the data and the column labels since the loop would start at row 1 instead of row 2. If Resize(1, 3) was changed to Resize(1, 1) for all three class scenarios defined in the For/Next approach code, then the loop would only color code the classes since the whole table row would no longer be selected. If Next i was not included in the For/Next approach code, then the program wouldn't run.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2290" name="CommandButton8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2291" name="CommandButton9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SimpForNext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03/31/2019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5361" name="CommandButton5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5362" name="CommandButton6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5363" name="CommandButton10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CountDown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4577" name="CommandButton1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4</xdr:col>
      <xdr:colOff>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609600" y="200025"/>
          <a:ext cx="1828800" cy="942975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myFile 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5601" name="CommandButton16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8673" name="CommandButton1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190500</xdr:rowOff>
        </xdr:to>
        <xdr:sp macro="" textlink="">
          <xdr:nvSpPr>
            <xdr:cNvPr id="28674" name="CommandButton13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4</xdr:col>
      <xdr:colOff>0</xdr:colOff>
      <xdr:row>5</xdr:row>
      <xdr:rowOff>180975</xdr:rowOff>
    </xdr:to>
    <xdr:sp macro="" textlink="">
      <xdr:nvSpPr>
        <xdr:cNvPr id="7" name="TextBox 6"/>
        <xdr:cNvSpPr txBox="1"/>
      </xdr:nvSpPr>
      <xdr:spPr>
        <a:xfrm>
          <a:off x="609600" y="200025"/>
          <a:ext cx="1828800" cy="97155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RemoveDuplicates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Addresses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9525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9697" name="CommandButton14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698" name="CommandButton15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1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4895850" y="190500"/>
          <a:ext cx="1847850" cy="952500"/>
        </a:xfrm>
        <a:prstGeom prst="rect">
          <a:avLst/>
        </a:prstGeom>
        <a:solidFill>
          <a:schemeClr val="lt1"/>
        </a:solidFill>
        <a:ln w="28575" cmpd="sng">
          <a:solidFill>
            <a:srgbClr val="9999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/>
            <a:t>To</a:t>
          </a:r>
          <a:r>
            <a:rPr lang="en-US" sz="1100" b="0" baseline="0"/>
            <a:t> format address information, select "Mr. Jones" cell.</a:t>
          </a:r>
          <a:endParaRPr lang="en-US" sz="1100" b="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 AddLoop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2769" name="CommandButton19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2770" name="CommandButton20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5" name="TextBox 4"/>
        <xdr:cNvSpPr txBox="1"/>
      </xdr:nvSpPr>
      <xdr:spPr>
        <a:xfrm>
          <a:off x="4267200" y="200025"/>
          <a:ext cx="3048000" cy="2314575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Explanation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The position of the sum outputs can be changed in the following line of code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Cells(i + 2, 6).Value = 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by adjusting the values within the parantheses. The first and second numbers (inputs) can be copied to the sheet by adding the following lines of code to the loop: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Cells(i + 2, 8).Value = 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Cells(i + 2, 9).Value = b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TextBox 1"/>
        <xdr:cNvSpPr txBox="1"/>
      </xdr:nvSpPr>
      <xdr:spPr>
        <a:xfrm>
          <a:off x="609600" y="190500"/>
          <a:ext cx="1828800" cy="952500"/>
        </a:xfrm>
        <a:prstGeom prst="rect">
          <a:avLst/>
        </a:prstGeom>
        <a:solidFill>
          <a:sysClr val="window" lastClr="FFFFFF"/>
        </a:solidFill>
        <a:ln w="28575" cmpd="sng">
          <a:solidFill>
            <a:srgbClr val="9999FF"/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VBA Workbook 3: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CreateUROwnElseIF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CLSE-115-002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Elena Russell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04/01/2019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1745" name="CommandButton17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1746" name="CommandButton18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mcquade\Desktop\Desktop%20Files\Teaching\CLSE%20115%202019\Excel%20Module_19\Workbooks\Workbook%202_19_Ke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mcquade\Desktop\Desktop%20Files\Teaching\CLSE%20115%202019\Excel%20Module_19\Lectures\Week%202_Demos_Excel_Linear%20Algeb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Information 2"/>
      <sheetName val="Adding and Subtracting"/>
      <sheetName val="Scaling"/>
      <sheetName val="Multiplying"/>
      <sheetName val="Transposing"/>
      <sheetName val="Inverting"/>
      <sheetName val="FertCo"/>
      <sheetName val="Balancing"/>
      <sheetName val="Liquid Separator"/>
      <sheetName val="Gas Absorber"/>
      <sheetName val="MassFlow"/>
      <sheetName val="MassFlow (2)"/>
    </sheetNames>
    <sheetDataSet>
      <sheetData sheetId="0" refreshError="1"/>
      <sheetData sheetId="1">
        <row r="8">
          <cell r="B8">
            <v>236</v>
          </cell>
          <cell r="C8">
            <v>5.6</v>
          </cell>
        </row>
        <row r="9">
          <cell r="B9">
            <v>0.87</v>
          </cell>
          <cell r="C9">
            <v>-21</v>
          </cell>
        </row>
        <row r="10">
          <cell r="B10">
            <v>2.09</v>
          </cell>
          <cell r="C10">
            <v>5.6</v>
          </cell>
        </row>
        <row r="12">
          <cell r="B12">
            <v>19</v>
          </cell>
          <cell r="C12">
            <v>-3.98</v>
          </cell>
        </row>
        <row r="13">
          <cell r="B13">
            <v>7</v>
          </cell>
          <cell r="C13">
            <v>8.9</v>
          </cell>
        </row>
        <row r="14">
          <cell r="B14">
            <v>6.89</v>
          </cell>
          <cell r="C14">
            <v>-120</v>
          </cell>
        </row>
        <row r="15">
          <cell r="M15">
            <v>5</v>
          </cell>
          <cell r="N15">
            <v>45</v>
          </cell>
          <cell r="O15">
            <v>9854</v>
          </cell>
          <cell r="P15">
            <v>13</v>
          </cell>
        </row>
        <row r="16">
          <cell r="M16">
            <v>32</v>
          </cell>
          <cell r="N16">
            <v>67</v>
          </cell>
          <cell r="O16">
            <v>34</v>
          </cell>
          <cell r="P16">
            <v>54</v>
          </cell>
        </row>
        <row r="17">
          <cell r="M17">
            <v>-45</v>
          </cell>
          <cell r="N17">
            <v>890</v>
          </cell>
          <cell r="O17">
            <v>71</v>
          </cell>
          <cell r="P17">
            <v>21</v>
          </cell>
        </row>
        <row r="18">
          <cell r="M18">
            <v>3</v>
          </cell>
          <cell r="N18">
            <v>12589</v>
          </cell>
          <cell r="O18">
            <v>-865</v>
          </cell>
          <cell r="P18">
            <v>432</v>
          </cell>
        </row>
        <row r="19">
          <cell r="M19">
            <v>-985</v>
          </cell>
          <cell r="N19">
            <v>4567</v>
          </cell>
          <cell r="O19">
            <v>543</v>
          </cell>
          <cell r="P19">
            <v>67</v>
          </cell>
        </row>
        <row r="20">
          <cell r="M20">
            <v>1</v>
          </cell>
          <cell r="N20">
            <v>4</v>
          </cell>
          <cell r="O20">
            <v>7</v>
          </cell>
          <cell r="P20">
            <v>9</v>
          </cell>
        </row>
      </sheetData>
      <sheetData sheetId="2">
        <row r="3">
          <cell r="J3">
            <v>2.4296641640739787</v>
          </cell>
          <cell r="K3">
            <v>-69.4108015295933</v>
          </cell>
          <cell r="L3">
            <v>126.11067779740551</v>
          </cell>
          <cell r="M3">
            <v>-53.862176741895382</v>
          </cell>
          <cell r="N3">
            <v>8.8371755282059894</v>
          </cell>
          <cell r="O3">
            <v>37.851897673099302</v>
          </cell>
          <cell r="P3">
            <v>36.356026725989068</v>
          </cell>
          <cell r="Q3">
            <v>-2.7777715559204808</v>
          </cell>
          <cell r="R3">
            <v>4.181233975905343</v>
          </cell>
          <cell r="S3">
            <v>10.875808470664197</v>
          </cell>
          <cell r="T3">
            <v>50.628785061198869</v>
          </cell>
          <cell r="U3">
            <v>14.276700198897743</v>
          </cell>
        </row>
        <row r="4">
          <cell r="J4">
            <v>101.06661113692098</v>
          </cell>
          <cell r="K4">
            <v>-63.039716110361042</v>
          </cell>
          <cell r="L4">
            <v>-49.992279059588327</v>
          </cell>
          <cell r="M4">
            <v>66.179006012098398</v>
          </cell>
          <cell r="N4">
            <v>-75.35970178199932</v>
          </cell>
          <cell r="O4">
            <v>-21.167167801686446</v>
          </cell>
          <cell r="P4">
            <v>94.78065442177467</v>
          </cell>
          <cell r="Q4">
            <v>38.343449432395573</v>
          </cell>
          <cell r="R4">
            <v>34.773098377590941</v>
          </cell>
          <cell r="S4">
            <v>115.39244189858437</v>
          </cell>
          <cell r="T4">
            <v>-3.4228875165717909</v>
          </cell>
          <cell r="U4">
            <v>2.5286730078369146</v>
          </cell>
        </row>
        <row r="5">
          <cell r="J5">
            <v>-6.1826536921580555</v>
          </cell>
          <cell r="K5">
            <v>44.427691022938234</v>
          </cell>
          <cell r="L5">
            <v>45.923295942848199</v>
          </cell>
          <cell r="M5">
            <v>-45.194877543544862</v>
          </cell>
          <cell r="N5">
            <v>-14.125294796976959</v>
          </cell>
          <cell r="O5">
            <v>11.309100273101649</v>
          </cell>
          <cell r="P5">
            <v>-54.019797858054517</v>
          </cell>
          <cell r="Q5">
            <v>-5.563475383532932</v>
          </cell>
          <cell r="R5">
            <v>43.198645357697387</v>
          </cell>
          <cell r="S5">
            <v>43.499056573600683</v>
          </cell>
          <cell r="T5">
            <v>-13.99480845524522</v>
          </cell>
          <cell r="U5">
            <v>57.36698801680177</v>
          </cell>
        </row>
        <row r="6">
          <cell r="J6">
            <v>27.28702645523299</v>
          </cell>
          <cell r="K6">
            <v>86.306756998019409</v>
          </cell>
          <cell r="L6">
            <v>16.458987829500984</v>
          </cell>
          <cell r="M6">
            <v>18.619461229682202</v>
          </cell>
          <cell r="N6">
            <v>9.8103030267884606</v>
          </cell>
          <cell r="O6">
            <v>79.539956118387636</v>
          </cell>
          <cell r="P6">
            <v>15.810746049246518</v>
          </cell>
          <cell r="Q6">
            <v>120.30543223314453</v>
          </cell>
          <cell r="R6">
            <v>-22.232872765962384</v>
          </cell>
          <cell r="S6">
            <v>72.365202527143992</v>
          </cell>
          <cell r="T6">
            <v>-4.5235750576830469</v>
          </cell>
          <cell r="U6">
            <v>46.959737915094593</v>
          </cell>
        </row>
        <row r="7">
          <cell r="C7">
            <v>345</v>
          </cell>
          <cell r="J7">
            <v>-119.85860362532549</v>
          </cell>
          <cell r="K7">
            <v>31.460594186646631</v>
          </cell>
          <cell r="L7">
            <v>-35.651683788310038</v>
          </cell>
          <cell r="M7">
            <v>75.097035846702056</v>
          </cell>
          <cell r="N7">
            <v>57.747140885985573</v>
          </cell>
          <cell r="O7">
            <v>-29.602757308603032</v>
          </cell>
          <cell r="P7">
            <v>73.01178163739678</v>
          </cell>
          <cell r="Q7">
            <v>-4.4787494744377909</v>
          </cell>
          <cell r="R7">
            <v>-41.795714992113062</v>
          </cell>
          <cell r="S7">
            <v>128.95876500348095</v>
          </cell>
          <cell r="T7">
            <v>28.230624934585649</v>
          </cell>
          <cell r="U7">
            <v>22.905026412408915</v>
          </cell>
        </row>
        <row r="8">
          <cell r="J8">
            <v>24.498529342017719</v>
          </cell>
          <cell r="K8">
            <v>55.15204554736556</v>
          </cell>
          <cell r="L8">
            <v>53.976737376578967</v>
          </cell>
          <cell r="M8">
            <v>19.569776895841642</v>
          </cell>
          <cell r="N8">
            <v>-4.0266362475813366</v>
          </cell>
          <cell r="O8">
            <v>90.256063799606636</v>
          </cell>
          <cell r="P8">
            <v>39.031661799490394</v>
          </cell>
          <cell r="Q8">
            <v>107.50899184582522</v>
          </cell>
          <cell r="R8">
            <v>68.777160663521499</v>
          </cell>
          <cell r="S8">
            <v>-32.948581406380981</v>
          </cell>
          <cell r="T8">
            <v>54.033667197436444</v>
          </cell>
          <cell r="U8">
            <v>-60.038663264131173</v>
          </cell>
        </row>
        <row r="9">
          <cell r="C9">
            <v>234</v>
          </cell>
          <cell r="D9">
            <v>4.59</v>
          </cell>
          <cell r="J9">
            <v>3.9837087797059212</v>
          </cell>
          <cell r="K9">
            <v>49.299713168657036</v>
          </cell>
          <cell r="L9">
            <v>27.920437219072483</v>
          </cell>
          <cell r="M9">
            <v>48.625467229576316</v>
          </cell>
          <cell r="N9">
            <v>-7.6963484616862843</v>
          </cell>
          <cell r="O9">
            <v>62.305250935387448</v>
          </cell>
          <cell r="P9">
            <v>-26.648126208820031</v>
          </cell>
          <cell r="Q9">
            <v>-15.07747265353828</v>
          </cell>
          <cell r="R9">
            <v>79.857592595508322</v>
          </cell>
          <cell r="S9">
            <v>-26.648126208820031</v>
          </cell>
          <cell r="T9">
            <v>-15.07747265353828</v>
          </cell>
          <cell r="U9">
            <v>79.857592595508322</v>
          </cell>
        </row>
        <row r="10">
          <cell r="C10">
            <v>-90</v>
          </cell>
          <cell r="D10">
            <v>1.0900000000000001</v>
          </cell>
          <cell r="J10">
            <v>-71.416912646818673</v>
          </cell>
          <cell r="K10">
            <v>29.630859103199327</v>
          </cell>
          <cell r="L10">
            <v>8.1371914574992843</v>
          </cell>
          <cell r="M10">
            <v>53.429785452826764</v>
          </cell>
          <cell r="N10">
            <v>23.83146613734425</v>
          </cell>
          <cell r="O10">
            <v>140.18404874601401</v>
          </cell>
          <cell r="P10">
            <v>-2.9596676541041234</v>
          </cell>
          <cell r="Q10">
            <v>-26.820378820993938</v>
          </cell>
          <cell r="R10">
            <v>125.66268799215322</v>
          </cell>
          <cell r="S10">
            <v>-2.9596676541041234</v>
          </cell>
          <cell r="T10">
            <v>-26.820378820993938</v>
          </cell>
          <cell r="U10">
            <v>125.66268799215322</v>
          </cell>
        </row>
        <row r="11">
          <cell r="C11">
            <v>897</v>
          </cell>
          <cell r="D11">
            <v>-987</v>
          </cell>
          <cell r="J11">
            <v>97.133265967349871</v>
          </cell>
          <cell r="K11">
            <v>25.03597079336032</v>
          </cell>
          <cell r="L11">
            <v>158.63569535664283</v>
          </cell>
          <cell r="M11">
            <v>74.802676749604871</v>
          </cell>
          <cell r="N11">
            <v>-4.210261522566725</v>
          </cell>
          <cell r="O11">
            <v>173.16503692651168</v>
          </cell>
          <cell r="P11">
            <v>72.823700406806893</v>
          </cell>
          <cell r="Q11">
            <v>55.755129210374434</v>
          </cell>
          <cell r="R11">
            <v>49.150671429706563</v>
          </cell>
          <cell r="S11">
            <v>0.5290795570181217</v>
          </cell>
          <cell r="T11">
            <v>6.9024262074526632</v>
          </cell>
          <cell r="U11">
            <v>86.673076452789246</v>
          </cell>
        </row>
        <row r="12">
          <cell r="J12">
            <v>-37.925418269005604</v>
          </cell>
          <cell r="K12">
            <v>61.117572499788366</v>
          </cell>
          <cell r="L12">
            <v>69.422542651373078</v>
          </cell>
          <cell r="M12">
            <v>-49.132080107519869</v>
          </cell>
          <cell r="N12">
            <v>52.323644354110002</v>
          </cell>
          <cell r="O12">
            <v>53.42473093602166</v>
          </cell>
          <cell r="P12">
            <v>-32.948581406380981</v>
          </cell>
          <cell r="Q12">
            <v>54.033667197436444</v>
          </cell>
          <cell r="R12">
            <v>-60.038663264131173</v>
          </cell>
          <cell r="S12">
            <v>5.6233674285613233</v>
          </cell>
          <cell r="T12">
            <v>-2.6746860158164054</v>
          </cell>
          <cell r="U12">
            <v>112.39059097075369</v>
          </cell>
        </row>
        <row r="13">
          <cell r="J13">
            <v>22.958697400063102</v>
          </cell>
          <cell r="K13">
            <v>-6.7486439584172331E-2</v>
          </cell>
          <cell r="L13">
            <v>65.97230287748971</v>
          </cell>
          <cell r="M13">
            <v>-17.928020611216198</v>
          </cell>
          <cell r="N13">
            <v>96.154152856761357</v>
          </cell>
          <cell r="O13">
            <v>51.233132353409019</v>
          </cell>
          <cell r="P13">
            <v>10.359582688543014</v>
          </cell>
          <cell r="Q13">
            <v>2.5002080974081764</v>
          </cell>
          <cell r="R13">
            <v>-57.228883974894416</v>
          </cell>
          <cell r="S13">
            <v>9.9659954457456479</v>
          </cell>
          <cell r="T13">
            <v>14.669755387294572</v>
          </cell>
          <cell r="U13">
            <v>-0.18327477850107243</v>
          </cell>
        </row>
        <row r="14">
          <cell r="J14">
            <v>-3.4228875165717909</v>
          </cell>
          <cell r="K14">
            <v>32.935182957735378</v>
          </cell>
          <cell r="L14">
            <v>16.616409425259917</v>
          </cell>
          <cell r="M14">
            <v>72.849571552033012</v>
          </cell>
          <cell r="N14">
            <v>-12.206706628639949</v>
          </cell>
          <cell r="O14">
            <v>148.09463357320055</v>
          </cell>
          <cell r="P14">
            <v>0.5290795570181217</v>
          </cell>
          <cell r="Q14">
            <v>6.9024262074526632</v>
          </cell>
          <cell r="R14">
            <v>86.673076452789246</v>
          </cell>
          <cell r="S14">
            <v>10.359582688543014</v>
          </cell>
          <cell r="T14">
            <v>2.5002080974081764</v>
          </cell>
          <cell r="U14">
            <v>-57.228883974894416</v>
          </cell>
        </row>
        <row r="15">
          <cell r="J15">
            <v>3.2151561981299892</v>
          </cell>
          <cell r="K15">
            <v>-42.570918253695709</v>
          </cell>
          <cell r="L15">
            <v>-32.843500662274892</v>
          </cell>
          <cell r="M15">
            <v>-19.685130268990179</v>
          </cell>
          <cell r="N15">
            <v>44.384461602894589</v>
          </cell>
          <cell r="O15">
            <v>31.555698910742649</v>
          </cell>
          <cell r="P15">
            <v>75.574687684784294</v>
          </cell>
          <cell r="Q15">
            <v>124.33361609961139</v>
          </cell>
          <cell r="R15">
            <v>65.232614247142919</v>
          </cell>
          <cell r="S15">
            <v>39.031661799490394</v>
          </cell>
          <cell r="T15">
            <v>107.50899184582522</v>
          </cell>
          <cell r="U15">
            <v>68.777160663521499</v>
          </cell>
        </row>
        <row r="16">
          <cell r="J16">
            <v>-38.662579640949843</v>
          </cell>
          <cell r="K16">
            <v>-20.35538580006687</v>
          </cell>
          <cell r="L16">
            <v>33.371999620576389</v>
          </cell>
          <cell r="M16">
            <v>120.72442507356755</v>
          </cell>
          <cell r="N16">
            <v>-45.642601321596885</v>
          </cell>
          <cell r="O16">
            <v>71.616335958387936</v>
          </cell>
          <cell r="P16">
            <v>9.9659954457456479</v>
          </cell>
          <cell r="Q16">
            <v>14.669755387294572</v>
          </cell>
          <cell r="R16">
            <v>-0.18327477850107243</v>
          </cell>
          <cell r="S16">
            <v>72.823700406806893</v>
          </cell>
          <cell r="T16">
            <v>55.755129210374434</v>
          </cell>
          <cell r="U16">
            <v>49.150671429706563</v>
          </cell>
        </row>
        <row r="17">
          <cell r="J17">
            <v>4.861532033792173</v>
          </cell>
          <cell r="K17">
            <v>-47.879491035055253</v>
          </cell>
          <cell r="L17">
            <v>141.71317309315782</v>
          </cell>
          <cell r="M17">
            <v>-64.513506799848983</v>
          </cell>
          <cell r="N17">
            <v>-7.4001271741872188</v>
          </cell>
          <cell r="O17">
            <v>-44.534864059678512</v>
          </cell>
          <cell r="P17">
            <v>5.6233674285613233</v>
          </cell>
          <cell r="Q17">
            <v>-2.6746860158164054</v>
          </cell>
          <cell r="R17">
            <v>112.39059097075369</v>
          </cell>
          <cell r="S17">
            <v>75.574687684784294</v>
          </cell>
          <cell r="T17">
            <v>124.33361609961139</v>
          </cell>
          <cell r="U17">
            <v>65.232614247142919</v>
          </cell>
        </row>
      </sheetData>
      <sheetData sheetId="3">
        <row r="7">
          <cell r="B7">
            <v>789</v>
          </cell>
          <cell r="C7">
            <v>6</v>
          </cell>
          <cell r="D7">
            <v>-98</v>
          </cell>
          <cell r="H7">
            <v>-9.8000000000000007</v>
          </cell>
          <cell r="I7">
            <v>0.32</v>
          </cell>
          <cell r="J7">
            <v>4.5</v>
          </cell>
        </row>
        <row r="8">
          <cell r="B8">
            <v>6</v>
          </cell>
          <cell r="C8">
            <v>7</v>
          </cell>
          <cell r="D8">
            <v>9</v>
          </cell>
          <cell r="H8">
            <v>-29</v>
          </cell>
          <cell r="I8">
            <v>87</v>
          </cell>
          <cell r="J8">
            <v>-675</v>
          </cell>
        </row>
        <row r="9">
          <cell r="B9">
            <v>0.09</v>
          </cell>
          <cell r="C9">
            <v>12</v>
          </cell>
          <cell r="D9">
            <v>-8</v>
          </cell>
          <cell r="H9">
            <v>-2</v>
          </cell>
          <cell r="I9">
            <v>6.03</v>
          </cell>
          <cell r="J9">
            <v>-987</v>
          </cell>
        </row>
        <row r="10">
          <cell r="B10">
            <v>-98</v>
          </cell>
          <cell r="C10">
            <v>0.97</v>
          </cell>
          <cell r="D10">
            <v>-0.87</v>
          </cell>
        </row>
        <row r="21">
          <cell r="B21">
            <v>3</v>
          </cell>
          <cell r="C21">
            <v>23</v>
          </cell>
          <cell r="D21">
            <v>4</v>
          </cell>
          <cell r="E21">
            <v>5</v>
          </cell>
          <cell r="H21">
            <v>45</v>
          </cell>
          <cell r="I21">
            <v>456</v>
          </cell>
          <cell r="J21">
            <v>56</v>
          </cell>
        </row>
        <row r="22">
          <cell r="B22">
            <v>56</v>
          </cell>
          <cell r="C22">
            <v>43</v>
          </cell>
          <cell r="D22">
            <v>26</v>
          </cell>
          <cell r="E22">
            <v>347</v>
          </cell>
          <cell r="H22">
            <v>56</v>
          </cell>
          <cell r="I22">
            <v>2234</v>
          </cell>
          <cell r="J22">
            <v>57</v>
          </cell>
        </row>
        <row r="23">
          <cell r="B23">
            <v>110</v>
          </cell>
          <cell r="C23">
            <v>213</v>
          </cell>
          <cell r="D23">
            <v>78</v>
          </cell>
          <cell r="E23">
            <v>2345</v>
          </cell>
          <cell r="H23">
            <v>67</v>
          </cell>
          <cell r="I23">
            <v>4567</v>
          </cell>
          <cell r="J23">
            <v>689</v>
          </cell>
        </row>
        <row r="24">
          <cell r="B24">
            <v>324</v>
          </cell>
          <cell r="C24">
            <v>54</v>
          </cell>
          <cell r="D24">
            <v>98</v>
          </cell>
          <cell r="E24">
            <v>222</v>
          </cell>
          <cell r="H24">
            <v>56</v>
          </cell>
          <cell r="I24">
            <v>2134</v>
          </cell>
          <cell r="J24">
            <v>53</v>
          </cell>
        </row>
        <row r="25">
          <cell r="B25">
            <v>42</v>
          </cell>
          <cell r="C25">
            <v>578</v>
          </cell>
          <cell r="D25">
            <v>74</v>
          </cell>
          <cell r="E25">
            <v>212</v>
          </cell>
        </row>
        <row r="26">
          <cell r="B26">
            <v>3</v>
          </cell>
          <cell r="C26">
            <v>21</v>
          </cell>
          <cell r="D26">
            <v>345</v>
          </cell>
          <cell r="E26">
            <v>72</v>
          </cell>
        </row>
        <row r="27">
          <cell r="B27">
            <v>4</v>
          </cell>
          <cell r="C27">
            <v>34</v>
          </cell>
          <cell r="D27">
            <v>231</v>
          </cell>
          <cell r="E27">
            <v>790</v>
          </cell>
        </row>
        <row r="28">
          <cell r="B28">
            <v>5</v>
          </cell>
          <cell r="C28">
            <v>65</v>
          </cell>
          <cell r="D28">
            <v>1</v>
          </cell>
          <cell r="E28">
            <v>7</v>
          </cell>
        </row>
      </sheetData>
      <sheetData sheetId="4" refreshError="1"/>
      <sheetData sheetId="5">
        <row r="7">
          <cell r="B7">
            <v>8</v>
          </cell>
          <cell r="C7">
            <v>10</v>
          </cell>
          <cell r="D7">
            <v>9</v>
          </cell>
          <cell r="E7">
            <v>4</v>
          </cell>
          <cell r="F7">
            <v>-98</v>
          </cell>
        </row>
        <row r="8">
          <cell r="B8">
            <v>57</v>
          </cell>
          <cell r="C8">
            <v>34</v>
          </cell>
          <cell r="D8">
            <v>2</v>
          </cell>
          <cell r="E8">
            <v>15</v>
          </cell>
          <cell r="F8">
            <v>-0.98</v>
          </cell>
        </row>
        <row r="9">
          <cell r="B9">
            <v>85</v>
          </cell>
          <cell r="C9">
            <v>91</v>
          </cell>
          <cell r="D9">
            <v>32</v>
          </cell>
          <cell r="E9">
            <v>45</v>
          </cell>
          <cell r="F9">
            <v>8.9700000000000006</v>
          </cell>
        </row>
        <row r="10">
          <cell r="B10">
            <v>56</v>
          </cell>
          <cell r="C10">
            <v>61</v>
          </cell>
          <cell r="D10">
            <v>31</v>
          </cell>
          <cell r="E10">
            <v>21</v>
          </cell>
          <cell r="F10">
            <v>135</v>
          </cell>
        </row>
        <row r="11">
          <cell r="B11">
            <v>0.98699999999999999</v>
          </cell>
          <cell r="C11">
            <v>-987</v>
          </cell>
          <cell r="D11">
            <v>8.9</v>
          </cell>
          <cell r="E11">
            <v>56</v>
          </cell>
          <cell r="F11">
            <v>3.45</v>
          </cell>
        </row>
        <row r="19">
          <cell r="B19">
            <v>1.3661616685151125E-2</v>
          </cell>
          <cell r="C19">
            <v>2.9410544725078574E-2</v>
          </cell>
          <cell r="D19">
            <v>-1.6644889973638676E-2</v>
          </cell>
          <cell r="E19">
            <v>1.1228836004507532E-2</v>
          </cell>
          <cell r="F19">
            <v>3.1089026968391374E-4</v>
          </cell>
        </row>
        <row r="20">
          <cell r="B20">
            <v>-2.5824628730024188E-3</v>
          </cell>
          <cell r="C20">
            <v>-2.2716129007569362E-3</v>
          </cell>
          <cell r="D20">
            <v>3.1449957503135394E-3</v>
          </cell>
          <cell r="E20">
            <v>-2.0757056705269067E-3</v>
          </cell>
          <cell r="F20">
            <v>-9.5590972642286653E-4</v>
          </cell>
        </row>
        <row r="21">
          <cell r="B21">
            <v>4.7375003247026294E-2</v>
          </cell>
          <cell r="C21">
            <v>-1.8574988882246398E-2</v>
          </cell>
          <cell r="D21">
            <v>-1.5234952789327728E-2</v>
          </cell>
          <cell r="E21">
            <v>3.5252484038780015E-2</v>
          </cell>
          <cell r="F21">
            <v>6.1420590983854364E-4</v>
          </cell>
        </row>
        <row r="22">
          <cell r="B22">
            <v>-5.2844918885417133E-2</v>
          </cell>
          <cell r="C22">
            <v>-3.7537586875048233E-2</v>
          </cell>
          <cell r="D22">
            <v>5.8149100347025424E-2</v>
          </cell>
          <cell r="E22">
            <v>-4.252079997725778E-2</v>
          </cell>
          <cell r="F22">
            <v>9.0483504595823482E-4</v>
          </cell>
        </row>
        <row r="23">
          <cell r="B23">
            <v>-7.15853409762497E-3</v>
          </cell>
          <cell r="C23">
            <v>-1.068949169870932E-3</v>
          </cell>
          <cell r="D23">
            <v>-6.3544244916550243E-5</v>
          </cell>
          <cell r="E23">
            <v>2.2067631405181657E-3</v>
          </cell>
          <cell r="F23">
            <v>2.1175696587984475E-5</v>
          </cell>
        </row>
      </sheetData>
      <sheetData sheetId="6">
        <row r="14">
          <cell r="K14">
            <v>18</v>
          </cell>
          <cell r="L14">
            <v>20</v>
          </cell>
          <cell r="M14">
            <v>24</v>
          </cell>
          <cell r="O14">
            <v>26400</v>
          </cell>
        </row>
        <row r="15">
          <cell r="K15">
            <v>4</v>
          </cell>
          <cell r="L15">
            <v>4</v>
          </cell>
          <cell r="M15">
            <v>3</v>
          </cell>
          <cell r="O15">
            <v>4900</v>
          </cell>
        </row>
        <row r="16">
          <cell r="K16">
            <v>5</v>
          </cell>
          <cell r="L16">
            <v>4</v>
          </cell>
          <cell r="M16">
            <v>6</v>
          </cell>
          <cell r="O16">
            <v>6200</v>
          </cell>
        </row>
      </sheetData>
      <sheetData sheetId="7" refreshError="1"/>
      <sheetData sheetId="8" refreshError="1"/>
      <sheetData sheetId="9" refreshError="1"/>
      <sheetData sheetId="10">
        <row r="23">
          <cell r="C23">
            <v>0.71599999999999997</v>
          </cell>
          <cell r="D23">
            <v>0.53300000000000003</v>
          </cell>
          <cell r="E23">
            <v>8.5999999999999993E-2</v>
          </cell>
          <cell r="G23">
            <v>3000</v>
          </cell>
        </row>
        <row r="24">
          <cell r="C24">
            <v>0.26800000000000002</v>
          </cell>
          <cell r="D24">
            <v>0.443</v>
          </cell>
          <cell r="E24">
            <v>0.38800000000000001</v>
          </cell>
          <cell r="G24">
            <v>4000</v>
          </cell>
        </row>
        <row r="25">
          <cell r="C25">
            <v>1.6E-2</v>
          </cell>
          <cell r="D25">
            <v>2.4E-2</v>
          </cell>
          <cell r="E25">
            <v>0.52600000000000002</v>
          </cell>
          <cell r="G25">
            <v>3000</v>
          </cell>
        </row>
      </sheetData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dding and Subtracting"/>
      <sheetName val="Scaling"/>
      <sheetName val="Multiplying"/>
      <sheetName val="Inverting"/>
      <sheetName val="Transposing"/>
      <sheetName val="Easier than Gauss"/>
      <sheetName val="Independence"/>
      <sheetName val="4eq 4unk"/>
      <sheetName val="MassFlow"/>
      <sheetName val="Burner"/>
    </sheetNames>
    <sheetDataSet>
      <sheetData sheetId="0"/>
      <sheetData sheetId="1">
        <row r="9">
          <cell r="D9">
            <v>14</v>
          </cell>
          <cell r="E9">
            <v>3</v>
          </cell>
        </row>
        <row r="10">
          <cell r="D10">
            <v>7</v>
          </cell>
          <cell r="E10">
            <v>21</v>
          </cell>
        </row>
        <row r="11">
          <cell r="D11">
            <v>8</v>
          </cell>
          <cell r="E11">
            <v>11</v>
          </cell>
        </row>
      </sheetData>
      <sheetData sheetId="2">
        <row r="6">
          <cell r="K6">
            <v>21.597014791768743</v>
          </cell>
          <cell r="L6">
            <v>-154.24622562131844</v>
          </cell>
          <cell r="M6">
            <v>280.24595066090114</v>
          </cell>
          <cell r="N6">
            <v>-119.69372609310085</v>
          </cell>
          <cell r="O6">
            <v>19.638167840457754</v>
          </cell>
          <cell r="P6">
            <v>84.115328162442893</v>
          </cell>
          <cell r="Q6">
            <v>80.791170502197929</v>
          </cell>
          <cell r="R6">
            <v>-6.1728256798232906</v>
          </cell>
          <cell r="S6">
            <v>9.2916310575674288</v>
          </cell>
          <cell r="T6">
            <v>24.168463268142659</v>
          </cell>
          <cell r="U6">
            <v>112.5084112471086</v>
          </cell>
          <cell r="V6">
            <v>31.726000441994984</v>
          </cell>
        </row>
        <row r="7">
          <cell r="K7">
            <v>224.59246919315774</v>
          </cell>
          <cell r="L7">
            <v>-140.08825802302454</v>
          </cell>
          <cell r="M7">
            <v>-111.09395346575184</v>
          </cell>
          <cell r="N7">
            <v>147.06445780466311</v>
          </cell>
          <cell r="O7">
            <v>-167.46600395999849</v>
          </cell>
          <cell r="P7">
            <v>-47.038150670414325</v>
          </cell>
          <cell r="Q7">
            <v>210.6236764928326</v>
          </cell>
          <cell r="R7">
            <v>85.207665405323496</v>
          </cell>
          <cell r="S7">
            <v>77.273551950202091</v>
          </cell>
          <cell r="T7">
            <v>256.42764866352081</v>
          </cell>
          <cell r="U7">
            <v>-7.6064167034928687</v>
          </cell>
          <cell r="V7">
            <v>5.6192733507486992</v>
          </cell>
        </row>
        <row r="8">
          <cell r="K8">
            <v>-13.739230427017901</v>
          </cell>
          <cell r="L8">
            <v>98.728202273196075</v>
          </cell>
          <cell r="M8">
            <v>102.05176876188489</v>
          </cell>
          <cell r="N8">
            <v>-100.43306120787747</v>
          </cell>
          <cell r="O8">
            <v>-31.389543993282132</v>
          </cell>
          <cell r="P8">
            <v>25.131333940225886</v>
          </cell>
          <cell r="Q8">
            <v>-120.04399524012115</v>
          </cell>
          <cell r="R8">
            <v>-12.363278630073182</v>
          </cell>
          <cell r="S8">
            <v>95.996989683771972</v>
          </cell>
          <cell r="T8">
            <v>96.664570163557073</v>
          </cell>
          <cell r="U8">
            <v>-31.099574344989378</v>
          </cell>
          <cell r="V8">
            <v>127.48219559289282</v>
          </cell>
        </row>
        <row r="9">
          <cell r="K9">
            <v>60.637836567184422</v>
          </cell>
          <cell r="L9">
            <v>191.79279332893202</v>
          </cell>
          <cell r="M9">
            <v>36.575528510002187</v>
          </cell>
          <cell r="N9">
            <v>41.376580510404892</v>
          </cell>
          <cell r="O9">
            <v>21.800673392863246</v>
          </cell>
          <cell r="P9">
            <v>176.75545804086141</v>
          </cell>
          <cell r="Q9">
            <v>35.134991220547818</v>
          </cell>
          <cell r="R9">
            <v>267.3454049625434</v>
          </cell>
          <cell r="S9">
            <v>-49.406383924360853</v>
          </cell>
          <cell r="T9">
            <v>160.81156117143109</v>
          </cell>
          <cell r="U9">
            <v>-10.052389017073438</v>
          </cell>
          <cell r="V9">
            <v>104.35497314465465</v>
          </cell>
        </row>
        <row r="10">
          <cell r="K10">
            <v>-266.3524525007233</v>
          </cell>
          <cell r="L10">
            <v>69.912431525881402</v>
          </cell>
          <cell r="M10">
            <v>-79.225963974022307</v>
          </cell>
          <cell r="N10">
            <v>166.88230188156012</v>
          </cell>
          <cell r="O10">
            <v>128.32697974663461</v>
          </cell>
          <cell r="P10">
            <v>-65.783905130228959</v>
          </cell>
          <cell r="Q10">
            <v>162.24840363865951</v>
          </cell>
          <cell r="R10">
            <v>-9.9527766098617576</v>
          </cell>
          <cell r="S10">
            <v>-92.879366649140138</v>
          </cell>
          <cell r="T10">
            <v>286.57503334106877</v>
          </cell>
          <cell r="U10">
            <v>62.734722076856997</v>
          </cell>
          <cell r="V10">
            <v>50.900058694242034</v>
          </cell>
        </row>
        <row r="11">
          <cell r="K11">
            <v>54.44117631559493</v>
          </cell>
          <cell r="L11">
            <v>122.56010121636791</v>
          </cell>
          <cell r="M11">
            <v>119.94830528128659</v>
          </cell>
          <cell r="N11">
            <v>43.488393101870315</v>
          </cell>
          <cell r="O11">
            <v>-8.9480805501807481</v>
          </cell>
          <cell r="P11">
            <v>200.56903066579252</v>
          </cell>
          <cell r="Q11">
            <v>86.737026221089764</v>
          </cell>
          <cell r="R11">
            <v>238.90887076850049</v>
          </cell>
          <cell r="S11">
            <v>152.83813480782555</v>
          </cell>
          <cell r="T11">
            <v>-73.219069791957736</v>
          </cell>
          <cell r="U11">
            <v>120.07481599430321</v>
          </cell>
          <cell r="V11">
            <v>-133.41925169806927</v>
          </cell>
        </row>
        <row r="12">
          <cell r="K12">
            <v>8.8526861771242693</v>
          </cell>
          <cell r="L12">
            <v>109.55491815257119</v>
          </cell>
          <cell r="M12">
            <v>62.045416042383295</v>
          </cell>
          <cell r="N12">
            <v>108.05659384350292</v>
          </cell>
          <cell r="O12">
            <v>-17.102996581525076</v>
          </cell>
          <cell r="P12">
            <v>138.45611318974989</v>
          </cell>
          <cell r="Q12">
            <v>-59.218058241822291</v>
          </cell>
          <cell r="R12">
            <v>-33.505494785640622</v>
          </cell>
          <cell r="S12">
            <v>177.46131687890738</v>
          </cell>
          <cell r="T12">
            <v>-59.218058241822291</v>
          </cell>
          <cell r="U12">
            <v>-33.505494785640622</v>
          </cell>
          <cell r="V12">
            <v>177.46131687890738</v>
          </cell>
        </row>
        <row r="13">
          <cell r="K13">
            <v>-158.70425032626372</v>
          </cell>
          <cell r="L13">
            <v>65.846353562665172</v>
          </cell>
          <cell r="M13">
            <v>18.082647683331743</v>
          </cell>
          <cell r="N13">
            <v>118.73285656183725</v>
          </cell>
          <cell r="O13">
            <v>52.958813638542779</v>
          </cell>
          <cell r="P13">
            <v>311.52010832447559</v>
          </cell>
          <cell r="Q13">
            <v>-6.5770392313424964</v>
          </cell>
          <cell r="R13">
            <v>-59.600841824430972</v>
          </cell>
          <cell r="S13">
            <v>279.2504177603405</v>
          </cell>
          <cell r="T13">
            <v>-6.5770392313424964</v>
          </cell>
          <cell r="U13">
            <v>-59.600841824430972</v>
          </cell>
          <cell r="V13">
            <v>279.2504177603405</v>
          </cell>
        </row>
        <row r="14">
          <cell r="K14">
            <v>215.85170214966638</v>
          </cell>
          <cell r="L14">
            <v>55.635490651911823</v>
          </cell>
          <cell r="M14">
            <v>352.52376745920628</v>
          </cell>
          <cell r="N14">
            <v>166.22817055467749</v>
          </cell>
          <cell r="O14">
            <v>-9.3561367168149445</v>
          </cell>
          <cell r="P14">
            <v>384.81119317002594</v>
          </cell>
          <cell r="Q14">
            <v>161.83044534845976</v>
          </cell>
          <cell r="R14">
            <v>123.90028713416541</v>
          </cell>
          <cell r="S14">
            <v>109.22371428823681</v>
          </cell>
          <cell r="T14">
            <v>1.1757323489291593</v>
          </cell>
          <cell r="U14">
            <v>15.338724905450363</v>
          </cell>
          <cell r="V14">
            <v>192.60683656175388</v>
          </cell>
        </row>
        <row r="15">
          <cell r="K15">
            <v>-84.278707264456898</v>
          </cell>
          <cell r="L15">
            <v>135.81682777730748</v>
          </cell>
          <cell r="M15">
            <v>154.27231700305128</v>
          </cell>
          <cell r="N15">
            <v>-109.18240023893304</v>
          </cell>
          <cell r="O15">
            <v>116.27476523135556</v>
          </cell>
          <cell r="P15">
            <v>118.72162430227036</v>
          </cell>
          <cell r="Q15">
            <v>-73.219069791957736</v>
          </cell>
          <cell r="R15">
            <v>120.07481599430321</v>
          </cell>
          <cell r="S15">
            <v>-133.41925169806927</v>
          </cell>
          <cell r="T15">
            <v>12.496372063469607</v>
          </cell>
          <cell r="U15">
            <v>-5.9437467018142343</v>
          </cell>
          <cell r="V15">
            <v>249.75686882389709</v>
          </cell>
        </row>
        <row r="16">
          <cell r="K16">
            <v>51.019327555695781</v>
          </cell>
          <cell r="L16">
            <v>-0.14996986574260518</v>
          </cell>
          <cell r="M16">
            <v>146.60511750553269</v>
          </cell>
          <cell r="N16">
            <v>-39.840045802702662</v>
          </cell>
          <cell r="O16">
            <v>213.67589523724746</v>
          </cell>
          <cell r="P16">
            <v>113.85140522979782</v>
          </cell>
          <cell r="Q16">
            <v>23.021294863428921</v>
          </cell>
          <cell r="R16">
            <v>5.556017994240392</v>
          </cell>
          <cell r="S16">
            <v>-127.17529772198759</v>
          </cell>
          <cell r="T16">
            <v>22.14665654610144</v>
          </cell>
          <cell r="U16">
            <v>32.59945641621016</v>
          </cell>
          <cell r="V16">
            <v>-0.40727728555793874</v>
          </cell>
        </row>
        <row r="17">
          <cell r="K17">
            <v>-7.6064167034928687</v>
          </cell>
          <cell r="L17">
            <v>73.189295461634174</v>
          </cell>
          <cell r="M17">
            <v>36.925354278355371</v>
          </cell>
          <cell r="N17">
            <v>161.88793678229558</v>
          </cell>
          <cell r="O17">
            <v>-27.126014730310999</v>
          </cell>
          <cell r="P17">
            <v>329.09918571822345</v>
          </cell>
          <cell r="Q17">
            <v>1.1757323489291593</v>
          </cell>
          <cell r="R17">
            <v>15.338724905450363</v>
          </cell>
          <cell r="S17">
            <v>192.60683656175388</v>
          </cell>
          <cell r="T17">
            <v>23.021294863428921</v>
          </cell>
          <cell r="U17">
            <v>5.556017994240392</v>
          </cell>
          <cell r="V17">
            <v>-127.17529772198759</v>
          </cell>
        </row>
        <row r="18">
          <cell r="K18">
            <v>7.144791551399976</v>
          </cell>
          <cell r="L18">
            <v>-94.602040563768242</v>
          </cell>
          <cell r="M18">
            <v>-72.985557027277537</v>
          </cell>
          <cell r="N18">
            <v>-43.744733931089286</v>
          </cell>
          <cell r="O18">
            <v>98.63213689532131</v>
          </cell>
          <cell r="P18">
            <v>70.123775357205886</v>
          </cell>
          <cell r="Q18">
            <v>167.94375041063176</v>
          </cell>
          <cell r="R18">
            <v>276.29692466580309</v>
          </cell>
          <cell r="S18">
            <v>144.96136499365093</v>
          </cell>
          <cell r="T18">
            <v>86.737026221089764</v>
          </cell>
          <cell r="U18">
            <v>238.90887076850049</v>
          </cell>
          <cell r="V18">
            <v>152.83813480782555</v>
          </cell>
        </row>
        <row r="19">
          <cell r="K19">
            <v>-85.916843646555208</v>
          </cell>
          <cell r="L19">
            <v>-45.234190666815266</v>
          </cell>
          <cell r="M19">
            <v>74.15999915683642</v>
          </cell>
          <cell r="N19">
            <v>268.27650016348343</v>
          </cell>
          <cell r="O19">
            <v>-101.42800293688197</v>
          </cell>
          <cell r="P19">
            <v>159.14741324086208</v>
          </cell>
          <cell r="Q19">
            <v>22.14665654610144</v>
          </cell>
          <cell r="R19">
            <v>32.59945641621016</v>
          </cell>
          <cell r="S19">
            <v>-0.40727728555793874</v>
          </cell>
          <cell r="T19">
            <v>161.83044534845976</v>
          </cell>
          <cell r="U19">
            <v>123.90028713416541</v>
          </cell>
          <cell r="V19">
            <v>109.22371428823681</v>
          </cell>
        </row>
        <row r="20">
          <cell r="K20">
            <v>10.803404519538162</v>
          </cell>
          <cell r="L20">
            <v>-106.39886896678945</v>
          </cell>
          <cell r="M20">
            <v>314.9181624292396</v>
          </cell>
          <cell r="N20">
            <v>-143.36334844410885</v>
          </cell>
          <cell r="O20">
            <v>-16.444727053749375</v>
          </cell>
          <cell r="P20">
            <v>-98.966364577063359</v>
          </cell>
          <cell r="Q20">
            <v>12.496372063469607</v>
          </cell>
          <cell r="R20">
            <v>-5.9437467018142343</v>
          </cell>
          <cell r="S20">
            <v>249.75686882389709</v>
          </cell>
          <cell r="T20">
            <v>167.94375041063176</v>
          </cell>
          <cell r="U20">
            <v>276.29692466580309</v>
          </cell>
          <cell r="V20">
            <v>144.96136499365093</v>
          </cell>
        </row>
      </sheetData>
      <sheetData sheetId="3">
        <row r="8">
          <cell r="Q8">
            <v>7</v>
          </cell>
        </row>
        <row r="16">
          <cell r="L16">
            <v>1</v>
          </cell>
          <cell r="M16">
            <v>2</v>
          </cell>
          <cell r="N16">
            <v>3</v>
          </cell>
        </row>
        <row r="17">
          <cell r="L17">
            <v>4</v>
          </cell>
          <cell r="M17">
            <v>5</v>
          </cell>
          <cell r="N17">
            <v>6</v>
          </cell>
        </row>
        <row r="19">
          <cell r="L19">
            <v>7</v>
          </cell>
          <cell r="M19">
            <v>8</v>
          </cell>
        </row>
        <row r="20">
          <cell r="L20">
            <v>9</v>
          </cell>
          <cell r="M20">
            <v>10</v>
          </cell>
        </row>
        <row r="21">
          <cell r="L21">
            <v>11</v>
          </cell>
          <cell r="M21">
            <v>12</v>
          </cell>
        </row>
      </sheetData>
      <sheetData sheetId="4">
        <row r="12">
          <cell r="J12">
            <v>0.1187593917172568</v>
          </cell>
          <cell r="K12">
            <v>4.510428562841861E-2</v>
          </cell>
          <cell r="L12">
            <v>-1.5711967301797195E-2</v>
          </cell>
          <cell r="M12">
            <v>-2.1169682034020591E-2</v>
          </cell>
        </row>
        <row r="13">
          <cell r="J13">
            <v>-0.32573180260864348</v>
          </cell>
          <cell r="K13">
            <v>-5.0525936166376177E-2</v>
          </cell>
          <cell r="L13">
            <v>2.7649215603774407E-4</v>
          </cell>
          <cell r="M13">
            <v>9.7541624090881796E-2</v>
          </cell>
        </row>
        <row r="14">
          <cell r="J14">
            <v>0.25500991765342312</v>
          </cell>
          <cell r="K14">
            <v>1.2430125623610035E-2</v>
          </cell>
          <cell r="L14">
            <v>-1.3391837470697842E-2</v>
          </cell>
          <cell r="M14">
            <v>-2.8755184227925716E-2</v>
          </cell>
        </row>
        <row r="15">
          <cell r="B15">
            <v>8</v>
          </cell>
          <cell r="C15">
            <v>10</v>
          </cell>
          <cell r="D15">
            <v>9</v>
          </cell>
          <cell r="E15">
            <v>4</v>
          </cell>
          <cell r="F15">
            <v>9</v>
          </cell>
          <cell r="G15">
            <v>4</v>
          </cell>
          <cell r="J15">
            <v>0.25303840836689306</v>
          </cell>
          <cell r="K15">
            <v>8.1384865059806535E-3</v>
          </cell>
          <cell r="L15">
            <v>6.0864338522570172E-2</v>
          </cell>
          <cell r="M15">
            <v>-0.13681553164633045</v>
          </cell>
        </row>
        <row r="16">
          <cell r="B16">
            <v>57</v>
          </cell>
          <cell r="C16">
            <v>34</v>
          </cell>
          <cell r="D16">
            <v>2</v>
          </cell>
          <cell r="E16">
            <v>15</v>
          </cell>
          <cell r="F16">
            <v>2</v>
          </cell>
          <cell r="G16">
            <v>15</v>
          </cell>
        </row>
        <row r="17">
          <cell r="B17">
            <v>8</v>
          </cell>
          <cell r="C17">
            <v>10</v>
          </cell>
          <cell r="D17">
            <v>9</v>
          </cell>
          <cell r="E17">
            <v>4</v>
          </cell>
          <cell r="F17">
            <v>9</v>
          </cell>
          <cell r="G17">
            <v>4</v>
          </cell>
        </row>
        <row r="18">
          <cell r="B18">
            <v>57</v>
          </cell>
          <cell r="C18">
            <v>34</v>
          </cell>
          <cell r="D18">
            <v>2</v>
          </cell>
          <cell r="E18">
            <v>15</v>
          </cell>
          <cell r="F18">
            <v>2</v>
          </cell>
          <cell r="G18">
            <v>15</v>
          </cell>
        </row>
        <row r="19">
          <cell r="B19">
            <v>8</v>
          </cell>
          <cell r="C19">
            <v>10</v>
          </cell>
          <cell r="D19">
            <v>9</v>
          </cell>
          <cell r="E19">
            <v>4</v>
          </cell>
          <cell r="F19">
            <v>9</v>
          </cell>
          <cell r="G19">
            <v>4</v>
          </cell>
        </row>
        <row r="20">
          <cell r="B20">
            <v>57</v>
          </cell>
          <cell r="C20">
            <v>34</v>
          </cell>
          <cell r="D20">
            <v>2</v>
          </cell>
          <cell r="E20">
            <v>15</v>
          </cell>
          <cell r="F20">
            <v>2</v>
          </cell>
          <cell r="G20">
            <v>15</v>
          </cell>
        </row>
        <row r="21">
          <cell r="B21">
            <v>8</v>
          </cell>
          <cell r="C21">
            <v>10</v>
          </cell>
          <cell r="D21">
            <v>9</v>
          </cell>
          <cell r="E21">
            <v>4</v>
          </cell>
          <cell r="F21">
            <v>9</v>
          </cell>
          <cell r="G21">
            <v>4</v>
          </cell>
        </row>
        <row r="22">
          <cell r="B22">
            <v>57</v>
          </cell>
          <cell r="C22">
            <v>34</v>
          </cell>
          <cell r="D22">
            <v>2</v>
          </cell>
          <cell r="E22">
            <v>15</v>
          </cell>
          <cell r="F22">
            <v>2</v>
          </cell>
          <cell r="G22">
            <v>15</v>
          </cell>
        </row>
        <row r="28">
          <cell r="B28">
            <v>65</v>
          </cell>
          <cell r="C28">
            <v>10</v>
          </cell>
          <cell r="D28">
            <v>9</v>
          </cell>
          <cell r="E28">
            <v>4</v>
          </cell>
        </row>
        <row r="29">
          <cell r="B29">
            <v>57</v>
          </cell>
          <cell r="C29">
            <v>34</v>
          </cell>
          <cell r="D29">
            <v>2</v>
          </cell>
          <cell r="E29">
            <v>15</v>
          </cell>
        </row>
        <row r="30">
          <cell r="B30">
            <v>421</v>
          </cell>
          <cell r="C30">
            <v>-124</v>
          </cell>
          <cell r="D30">
            <v>-890</v>
          </cell>
          <cell r="E30">
            <v>0</v>
          </cell>
        </row>
        <row r="31">
          <cell r="B31">
            <v>1</v>
          </cell>
          <cell r="C31">
            <v>45</v>
          </cell>
          <cell r="D31">
            <v>-1267</v>
          </cell>
          <cell r="E31">
            <v>-98</v>
          </cell>
        </row>
      </sheetData>
      <sheetData sheetId="5">
        <row r="5">
          <cell r="O5">
            <v>14</v>
          </cell>
          <cell r="P5">
            <v>7</v>
          </cell>
          <cell r="Q5">
            <v>8</v>
          </cell>
        </row>
        <row r="6">
          <cell r="O6">
            <v>3</v>
          </cell>
          <cell r="P6">
            <v>21</v>
          </cell>
          <cell r="Q6">
            <v>11</v>
          </cell>
        </row>
      </sheetData>
      <sheetData sheetId="6"/>
      <sheetData sheetId="7"/>
      <sheetData sheetId="8">
        <row r="13">
          <cell r="D13">
            <v>10</v>
          </cell>
          <cell r="E13">
            <v>5</v>
          </cell>
          <cell r="F13">
            <v>18</v>
          </cell>
          <cell r="G13">
            <v>-2</v>
          </cell>
        </row>
        <row r="14">
          <cell r="D14">
            <v>0</v>
          </cell>
          <cell r="E14">
            <v>0</v>
          </cell>
          <cell r="F14">
            <v>6</v>
          </cell>
          <cell r="G14">
            <v>-5</v>
          </cell>
        </row>
        <row r="15">
          <cell r="D15">
            <v>-7</v>
          </cell>
          <cell r="E15">
            <v>10</v>
          </cell>
          <cell r="F15">
            <v>-100</v>
          </cell>
          <cell r="G15">
            <v>0</v>
          </cell>
        </row>
        <row r="16">
          <cell r="D16">
            <v>8</v>
          </cell>
          <cell r="E16">
            <v>-25</v>
          </cell>
          <cell r="F16">
            <v>-10</v>
          </cell>
          <cell r="G16">
            <v>-2</v>
          </cell>
        </row>
      </sheetData>
      <sheetData sheetId="9"/>
      <sheetData sheetId="10">
        <row r="24">
          <cell r="M24">
            <v>1</v>
          </cell>
          <cell r="N24">
            <v>1</v>
          </cell>
          <cell r="O24">
            <v>1</v>
          </cell>
          <cell r="P24">
            <v>0</v>
          </cell>
          <cell r="Q24">
            <v>0</v>
          </cell>
          <cell r="T24">
            <v>1</v>
          </cell>
        </row>
        <row r="25">
          <cell r="M25">
            <v>4</v>
          </cell>
          <cell r="N25">
            <v>0</v>
          </cell>
          <cell r="O25">
            <v>0</v>
          </cell>
          <cell r="P25">
            <v>2</v>
          </cell>
          <cell r="Q25">
            <v>0</v>
          </cell>
          <cell r="T25">
            <v>4</v>
          </cell>
        </row>
        <row r="26">
          <cell r="M26">
            <v>0</v>
          </cell>
          <cell r="N26">
            <v>2</v>
          </cell>
          <cell r="O26">
            <v>1</v>
          </cell>
          <cell r="P26">
            <v>1</v>
          </cell>
          <cell r="Q26">
            <v>2</v>
          </cell>
          <cell r="T26">
            <v>4.5999999999999996</v>
          </cell>
        </row>
        <row r="27">
          <cell r="M27">
            <v>1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T27">
            <v>0.01</v>
          </cell>
        </row>
        <row r="28">
          <cell r="M28">
            <v>0</v>
          </cell>
          <cell r="N28">
            <v>1</v>
          </cell>
          <cell r="O28">
            <v>-9</v>
          </cell>
          <cell r="P28">
            <v>0</v>
          </cell>
          <cell r="Q28">
            <v>0</v>
          </cell>
          <cell r="T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image" Target="../media/image1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image" Target="../media/image1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6" Type="http://schemas.openxmlformats.org/officeDocument/2006/relationships/image" Target="../media/image18.emf"/><Relationship Id="rId5" Type="http://schemas.openxmlformats.org/officeDocument/2006/relationships/control" Target="../activeX/activeX17.xml"/><Relationship Id="rId4" Type="http://schemas.openxmlformats.org/officeDocument/2006/relationships/image" Target="../media/image17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B193"/>
  <sheetViews>
    <sheetView zoomScaleNormal="100" workbookViewId="0">
      <selection activeCell="M11" sqref="M11"/>
    </sheetView>
  </sheetViews>
  <sheetFormatPr defaultRowHeight="15" x14ac:dyDescent="0.25"/>
  <cols>
    <col min="13" max="13" width="20.7109375" customWidth="1"/>
    <col min="14" max="15" width="20.7109375" style="1" customWidth="1"/>
    <col min="16" max="16" width="20.7109375" customWidth="1"/>
  </cols>
  <sheetData>
    <row r="1" spans="13:28" x14ac:dyDescent="0.25">
      <c r="M1" s="2"/>
      <c r="N1" s="3"/>
      <c r="O1" s="3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3:28" x14ac:dyDescent="0.25">
      <c r="M2" s="2"/>
      <c r="N2" s="3"/>
      <c r="O2" s="3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3:28" x14ac:dyDescent="0.25">
      <c r="M3" s="2"/>
      <c r="N3" s="3"/>
      <c r="O3" s="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3:28" x14ac:dyDescent="0.25">
      <c r="M4" s="2"/>
      <c r="N4" s="3"/>
      <c r="O4" s="3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3:28" x14ac:dyDescent="0.25"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</row>
    <row r="6" spans="13:28" x14ac:dyDescent="0.25"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7" spans="13:28" x14ac:dyDescent="0.25"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</row>
    <row r="8" spans="13:28" x14ac:dyDescent="0.25"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3:28" x14ac:dyDescent="0.25"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</row>
    <row r="10" spans="13:28" x14ac:dyDescent="0.25"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13:28" x14ac:dyDescent="0.25"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3:28" x14ac:dyDescent="0.25"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3:28" x14ac:dyDescent="0.25"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</row>
    <row r="14" spans="13:28" x14ac:dyDescent="0.25"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</row>
    <row r="15" spans="13:28" x14ac:dyDescent="0.25">
      <c r="M15" s="2"/>
      <c r="N15" s="3"/>
      <c r="O15" s="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</row>
    <row r="16" spans="13:28" x14ac:dyDescent="0.25">
      <c r="M16" s="2"/>
      <c r="N16" s="3"/>
      <c r="O16" s="3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</row>
    <row r="17" spans="1:28" x14ac:dyDescent="0.25">
      <c r="M17" s="2"/>
      <c r="N17" s="3"/>
      <c r="O17" s="3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</row>
    <row r="18" spans="1:28" x14ac:dyDescent="0.25">
      <c r="M18" s="2"/>
      <c r="N18" s="3"/>
      <c r="O18" s="3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</row>
    <row r="19" spans="1:28" x14ac:dyDescent="0.25">
      <c r="M19" s="2"/>
      <c r="N19" s="3"/>
      <c r="O19" s="3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</row>
    <row r="20" spans="1:28" x14ac:dyDescent="0.25">
      <c r="M20" s="2"/>
      <c r="N20" s="3"/>
      <c r="O20" s="3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</row>
    <row r="21" spans="1:28" x14ac:dyDescent="0.25">
      <c r="M21" s="2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8" x14ac:dyDescent="0.25">
      <c r="M22" s="2"/>
      <c r="N22" s="3"/>
      <c r="O22" s="3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8" x14ac:dyDescent="0.25">
      <c r="M23" s="2"/>
      <c r="N23" s="3"/>
      <c r="O23" s="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  <row r="24" spans="1:28" x14ac:dyDescent="0.25">
      <c r="M24" s="2"/>
      <c r="N24" s="3"/>
      <c r="O24" s="3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</row>
    <row r="25" spans="1:28" x14ac:dyDescent="0.25">
      <c r="M25" s="2"/>
      <c r="N25" s="3"/>
      <c r="O25" s="3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</row>
    <row r="26" spans="1:2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</row>
    <row r="27" spans="1:2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</row>
    <row r="28" spans="1:2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  <row r="29" spans="1:2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</row>
    <row r="30" spans="1:2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</row>
    <row r="31" spans="1:2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1:2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1:2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</row>
    <row r="37" spans="1:2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3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1:2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</row>
    <row r="39" spans="1:2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3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</row>
    <row r="40" spans="1:2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</row>
    <row r="41" spans="1:2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3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1:2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3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</row>
    <row r="43" spans="1:2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</row>
    <row r="44" spans="1:2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3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  <row r="45" spans="1:2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3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1:2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3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</row>
    <row r="47" spans="1:2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3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</row>
    <row r="48" spans="1:2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3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3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1:2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1:2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3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</row>
    <row r="53" spans="1:2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3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1:2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3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1:2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3"/>
      <c r="O55" s="3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  <row r="56" spans="1:2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3"/>
      <c r="O56" s="3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1:2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3"/>
      <c r="O57" s="3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1:2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3"/>
      <c r="O58" s="3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</row>
    <row r="59" spans="1:28" x14ac:dyDescent="0.25">
      <c r="W59" s="2"/>
      <c r="X59" s="2"/>
      <c r="Y59" s="2"/>
      <c r="Z59" s="2"/>
      <c r="AA59" s="2"/>
      <c r="AB59" s="2"/>
    </row>
    <row r="60" spans="1:28" x14ac:dyDescent="0.25">
      <c r="W60" s="2"/>
      <c r="X60" s="2"/>
      <c r="Y60" s="2"/>
      <c r="Z60" s="2"/>
      <c r="AA60" s="2"/>
      <c r="AB60" s="2"/>
    </row>
    <row r="61" spans="1:28" x14ac:dyDescent="0.25">
      <c r="W61" s="2"/>
      <c r="X61" s="2"/>
      <c r="Y61" s="2"/>
      <c r="Z61" s="2"/>
      <c r="AA61" s="2"/>
      <c r="AB61" s="2"/>
    </row>
    <row r="62" spans="1:28" x14ac:dyDescent="0.25">
      <c r="W62" s="2"/>
      <c r="X62" s="2"/>
      <c r="Y62" s="2"/>
      <c r="Z62" s="2"/>
      <c r="AA62" s="2"/>
      <c r="AB62" s="2"/>
    </row>
    <row r="63" spans="1:28" x14ac:dyDescent="0.25">
      <c r="W63" s="2"/>
      <c r="X63" s="2"/>
      <c r="Y63" s="2"/>
      <c r="Z63" s="2"/>
      <c r="AA63" s="2"/>
      <c r="AB63" s="2"/>
    </row>
    <row r="64" spans="1:28" x14ac:dyDescent="0.25">
      <c r="W64" s="2"/>
      <c r="X64" s="2"/>
      <c r="Y64" s="2"/>
      <c r="Z64" s="2"/>
      <c r="AA64" s="2"/>
      <c r="AB64" s="2"/>
    </row>
    <row r="65" spans="23:28" x14ac:dyDescent="0.25">
      <c r="W65" s="2"/>
      <c r="X65" s="2"/>
      <c r="Y65" s="2"/>
      <c r="Z65" s="2"/>
      <c r="AA65" s="2"/>
      <c r="AB65" s="2"/>
    </row>
    <row r="66" spans="23:28" x14ac:dyDescent="0.25">
      <c r="W66" s="2"/>
      <c r="X66" s="2"/>
      <c r="Y66" s="2"/>
      <c r="Z66" s="2"/>
      <c r="AA66" s="2"/>
      <c r="AB66" s="2"/>
    </row>
    <row r="67" spans="23:28" x14ac:dyDescent="0.25">
      <c r="W67" s="2"/>
      <c r="X67" s="2"/>
      <c r="Y67" s="2"/>
      <c r="Z67" s="2"/>
      <c r="AA67" s="2"/>
      <c r="AB67" s="2"/>
    </row>
    <row r="68" spans="23:28" x14ac:dyDescent="0.25">
      <c r="W68" s="2"/>
      <c r="X68" s="2"/>
      <c r="Y68" s="2"/>
      <c r="Z68" s="2"/>
      <c r="AA68" s="2"/>
      <c r="AB68" s="2"/>
    </row>
    <row r="69" spans="23:28" x14ac:dyDescent="0.25">
      <c r="W69" s="2"/>
      <c r="X69" s="2"/>
      <c r="Y69" s="2"/>
      <c r="Z69" s="2"/>
      <c r="AA69" s="2"/>
      <c r="AB69" s="2"/>
    </row>
    <row r="70" spans="23:28" x14ac:dyDescent="0.25">
      <c r="W70" s="2"/>
      <c r="X70" s="2"/>
      <c r="Y70" s="2"/>
      <c r="Z70" s="2"/>
      <c r="AA70" s="2"/>
      <c r="AB70" s="2"/>
    </row>
    <row r="71" spans="23:28" x14ac:dyDescent="0.25">
      <c r="W71" s="2"/>
      <c r="X71" s="2"/>
      <c r="Y71" s="2"/>
      <c r="Z71" s="2"/>
      <c r="AA71" s="2"/>
      <c r="AB71" s="2"/>
    </row>
    <row r="72" spans="23:28" x14ac:dyDescent="0.25">
      <c r="W72" s="2"/>
      <c r="X72" s="2"/>
      <c r="Y72" s="2"/>
      <c r="Z72" s="2"/>
      <c r="AA72" s="2"/>
      <c r="AB72" s="2"/>
    </row>
    <row r="73" spans="23:28" x14ac:dyDescent="0.25">
      <c r="W73" s="2"/>
      <c r="X73" s="2"/>
      <c r="Y73" s="2"/>
      <c r="Z73" s="2"/>
      <c r="AA73" s="2"/>
      <c r="AB73" s="2"/>
    </row>
    <row r="74" spans="23:28" x14ac:dyDescent="0.25">
      <c r="W74" s="2"/>
      <c r="X74" s="2"/>
      <c r="Y74" s="2"/>
      <c r="Z74" s="2"/>
      <c r="AA74" s="2"/>
      <c r="AB74" s="2"/>
    </row>
    <row r="75" spans="23:28" x14ac:dyDescent="0.25">
      <c r="W75" s="2"/>
      <c r="X75" s="2"/>
      <c r="Y75" s="2"/>
      <c r="Z75" s="2"/>
      <c r="AA75" s="2"/>
      <c r="AB75" s="2"/>
    </row>
    <row r="76" spans="23:28" x14ac:dyDescent="0.25">
      <c r="W76" s="2"/>
      <c r="X76" s="2"/>
      <c r="Y76" s="2"/>
      <c r="Z76" s="2"/>
      <c r="AA76" s="2"/>
      <c r="AB76" s="2"/>
    </row>
    <row r="77" spans="23:28" x14ac:dyDescent="0.25">
      <c r="W77" s="2"/>
      <c r="X77" s="2"/>
      <c r="Y77" s="2"/>
      <c r="Z77" s="2"/>
      <c r="AA77" s="2"/>
      <c r="AB77" s="2"/>
    </row>
    <row r="78" spans="23:28" x14ac:dyDescent="0.25">
      <c r="W78" s="2"/>
      <c r="X78" s="2"/>
      <c r="Y78" s="2"/>
      <c r="Z78" s="2"/>
      <c r="AA78" s="2"/>
      <c r="AB78" s="2"/>
    </row>
    <row r="79" spans="23:28" x14ac:dyDescent="0.25">
      <c r="W79" s="2"/>
      <c r="X79" s="2"/>
      <c r="Y79" s="2"/>
      <c r="Z79" s="2"/>
      <c r="AA79" s="2"/>
      <c r="AB79" s="2"/>
    </row>
    <row r="80" spans="23:28" x14ac:dyDescent="0.25">
      <c r="W80" s="2"/>
      <c r="X80" s="2"/>
      <c r="Y80" s="2"/>
      <c r="Z80" s="2"/>
      <c r="AA80" s="2"/>
      <c r="AB80" s="2"/>
    </row>
    <row r="81" spans="23:28" x14ac:dyDescent="0.25">
      <c r="W81" s="2"/>
      <c r="X81" s="2"/>
      <c r="Y81" s="2"/>
      <c r="Z81" s="2"/>
      <c r="AA81" s="2"/>
      <c r="AB81" s="2"/>
    </row>
    <row r="82" spans="23:28" x14ac:dyDescent="0.25">
      <c r="W82" s="2"/>
      <c r="X82" s="2"/>
      <c r="Y82" s="2"/>
      <c r="Z82" s="2"/>
      <c r="AA82" s="2"/>
      <c r="AB82" s="2"/>
    </row>
    <row r="83" spans="23:28" x14ac:dyDescent="0.25">
      <c r="W83" s="2"/>
      <c r="X83" s="2"/>
      <c r="Y83" s="2"/>
      <c r="Z83" s="2"/>
      <c r="AA83" s="2"/>
      <c r="AB83" s="2"/>
    </row>
    <row r="84" spans="23:28" x14ac:dyDescent="0.25">
      <c r="W84" s="2"/>
      <c r="X84" s="2"/>
      <c r="Y84" s="2"/>
      <c r="Z84" s="2"/>
      <c r="AA84" s="2"/>
      <c r="AB84" s="2"/>
    </row>
    <row r="85" spans="23:28" x14ac:dyDescent="0.25">
      <c r="W85" s="2"/>
      <c r="X85" s="2"/>
      <c r="Y85" s="2"/>
      <c r="Z85" s="2"/>
      <c r="AA85" s="2"/>
      <c r="AB85" s="2"/>
    </row>
    <row r="86" spans="23:28" x14ac:dyDescent="0.25">
      <c r="W86" s="2"/>
      <c r="X86" s="2"/>
      <c r="Y86" s="2"/>
      <c r="Z86" s="2"/>
      <c r="AA86" s="2"/>
      <c r="AB86" s="2"/>
    </row>
    <row r="87" spans="23:28" x14ac:dyDescent="0.25">
      <c r="W87" s="2"/>
      <c r="X87" s="2"/>
      <c r="Y87" s="2"/>
      <c r="Z87" s="2"/>
      <c r="AA87" s="2"/>
      <c r="AB87" s="2"/>
    </row>
    <row r="88" spans="23:28" x14ac:dyDescent="0.25">
      <c r="W88" s="2"/>
      <c r="X88" s="2"/>
      <c r="Y88" s="2"/>
      <c r="Z88" s="2"/>
      <c r="AA88" s="2"/>
      <c r="AB88" s="2"/>
    </row>
    <row r="89" spans="23:28" x14ac:dyDescent="0.25">
      <c r="W89" s="2"/>
      <c r="X89" s="2"/>
      <c r="Y89" s="2"/>
      <c r="Z89" s="2"/>
      <c r="AA89" s="2"/>
      <c r="AB89" s="2"/>
    </row>
    <row r="90" spans="23:28" x14ac:dyDescent="0.25">
      <c r="W90" s="2"/>
      <c r="X90" s="2"/>
      <c r="Y90" s="2"/>
      <c r="Z90" s="2"/>
      <c r="AA90" s="2"/>
      <c r="AB90" s="2"/>
    </row>
    <row r="91" spans="23:28" x14ac:dyDescent="0.25">
      <c r="W91" s="2"/>
      <c r="X91" s="2"/>
      <c r="Y91" s="2"/>
      <c r="Z91" s="2"/>
      <c r="AA91" s="2"/>
      <c r="AB91" s="2"/>
    </row>
    <row r="92" spans="23:28" x14ac:dyDescent="0.25">
      <c r="W92" s="2"/>
      <c r="X92" s="2"/>
      <c r="Y92" s="2"/>
      <c r="Z92" s="2"/>
      <c r="AA92" s="2"/>
      <c r="AB92" s="2"/>
    </row>
    <row r="93" spans="23:28" x14ac:dyDescent="0.25">
      <c r="W93" s="2"/>
      <c r="X93" s="2"/>
      <c r="Y93" s="2"/>
      <c r="Z93" s="2"/>
      <c r="AA93" s="2"/>
      <c r="AB93" s="2"/>
    </row>
    <row r="94" spans="23:28" x14ac:dyDescent="0.25">
      <c r="W94" s="2"/>
      <c r="X94" s="2"/>
      <c r="Y94" s="2"/>
      <c r="Z94" s="2"/>
      <c r="AA94" s="2"/>
      <c r="AB94" s="2"/>
    </row>
    <row r="95" spans="23:28" x14ac:dyDescent="0.25">
      <c r="W95" s="2"/>
      <c r="X95" s="2"/>
      <c r="Y95" s="2"/>
      <c r="Z95" s="2"/>
      <c r="AA95" s="2"/>
      <c r="AB95" s="2"/>
    </row>
    <row r="96" spans="23:28" x14ac:dyDescent="0.25">
      <c r="W96" s="2"/>
      <c r="X96" s="2"/>
      <c r="Y96" s="2"/>
      <c r="Z96" s="2"/>
      <c r="AA96" s="2"/>
      <c r="AB96" s="2"/>
    </row>
    <row r="97" spans="23:28" x14ac:dyDescent="0.25">
      <c r="W97" s="2"/>
      <c r="X97" s="2"/>
      <c r="Y97" s="2"/>
      <c r="Z97" s="2"/>
      <c r="AA97" s="2"/>
      <c r="AB97" s="2"/>
    </row>
    <row r="98" spans="23:28" x14ac:dyDescent="0.25">
      <c r="W98" s="2"/>
      <c r="X98" s="2"/>
      <c r="Y98" s="2"/>
      <c r="Z98" s="2"/>
      <c r="AA98" s="2"/>
      <c r="AB98" s="2"/>
    </row>
    <row r="99" spans="23:28" x14ac:dyDescent="0.25">
      <c r="W99" s="2"/>
      <c r="X99" s="2"/>
      <c r="Y99" s="2"/>
      <c r="Z99" s="2"/>
      <c r="AA99" s="2"/>
      <c r="AB99" s="2"/>
    </row>
    <row r="100" spans="23:28" x14ac:dyDescent="0.25">
      <c r="W100" s="2"/>
      <c r="X100" s="2"/>
      <c r="Y100" s="2"/>
      <c r="Z100" s="2"/>
      <c r="AA100" s="2"/>
      <c r="AB100" s="2"/>
    </row>
    <row r="101" spans="23:28" x14ac:dyDescent="0.25">
      <c r="W101" s="2"/>
      <c r="X101" s="2"/>
      <c r="Y101" s="2"/>
      <c r="Z101" s="2"/>
      <c r="AA101" s="2"/>
      <c r="AB101" s="2"/>
    </row>
    <row r="102" spans="23:28" x14ac:dyDescent="0.25">
      <c r="W102" s="2"/>
      <c r="X102" s="2"/>
      <c r="Y102" s="2"/>
      <c r="Z102" s="2"/>
      <c r="AA102" s="2"/>
      <c r="AB102" s="2"/>
    </row>
    <row r="103" spans="23:28" x14ac:dyDescent="0.25">
      <c r="W103" s="2"/>
      <c r="X103" s="2"/>
      <c r="Y103" s="2"/>
      <c r="Z103" s="2"/>
      <c r="AA103" s="2"/>
      <c r="AB103" s="2"/>
    </row>
    <row r="104" spans="23:28" x14ac:dyDescent="0.25">
      <c r="W104" s="2"/>
      <c r="X104" s="2"/>
      <c r="Y104" s="2"/>
      <c r="Z104" s="2"/>
      <c r="AA104" s="2"/>
      <c r="AB104" s="2"/>
    </row>
    <row r="105" spans="23:28" x14ac:dyDescent="0.25">
      <c r="W105" s="2"/>
      <c r="X105" s="2"/>
      <c r="Y105" s="2"/>
      <c r="Z105" s="2"/>
      <c r="AA105" s="2"/>
      <c r="AB105" s="2"/>
    </row>
    <row r="106" spans="23:28" x14ac:dyDescent="0.25">
      <c r="W106" s="2"/>
      <c r="X106" s="2"/>
      <c r="Y106" s="2"/>
      <c r="Z106" s="2"/>
      <c r="AA106" s="2"/>
      <c r="AB106" s="2"/>
    </row>
    <row r="107" spans="23:28" x14ac:dyDescent="0.25">
      <c r="W107" s="2"/>
      <c r="X107" s="2"/>
      <c r="Y107" s="2"/>
      <c r="Z107" s="2"/>
      <c r="AA107" s="2"/>
      <c r="AB107" s="2"/>
    </row>
    <row r="108" spans="23:28" x14ac:dyDescent="0.25">
      <c r="W108" s="2"/>
      <c r="X108" s="2"/>
      <c r="Y108" s="2"/>
      <c r="Z108" s="2"/>
      <c r="AA108" s="2"/>
      <c r="AB108" s="2"/>
    </row>
    <row r="109" spans="23:28" x14ac:dyDescent="0.25">
      <c r="W109" s="2"/>
      <c r="X109" s="2"/>
      <c r="Y109" s="2"/>
      <c r="Z109" s="2"/>
      <c r="AA109" s="2"/>
      <c r="AB109" s="2"/>
    </row>
    <row r="110" spans="23:28" x14ac:dyDescent="0.25">
      <c r="W110" s="2"/>
      <c r="X110" s="2"/>
      <c r="Y110" s="2"/>
      <c r="Z110" s="2"/>
      <c r="AA110" s="2"/>
      <c r="AB110" s="2"/>
    </row>
    <row r="111" spans="23:28" x14ac:dyDescent="0.25">
      <c r="W111" s="2"/>
      <c r="X111" s="2"/>
      <c r="Y111" s="2"/>
      <c r="Z111" s="2"/>
      <c r="AA111" s="2"/>
      <c r="AB111" s="2"/>
    </row>
    <row r="112" spans="23:28" x14ac:dyDescent="0.25">
      <c r="W112" s="2"/>
      <c r="X112" s="2"/>
      <c r="Y112" s="2"/>
      <c r="Z112" s="2"/>
      <c r="AA112" s="2"/>
      <c r="AB112" s="2"/>
    </row>
    <row r="113" spans="23:28" x14ac:dyDescent="0.25">
      <c r="W113" s="2"/>
      <c r="X113" s="2"/>
      <c r="Y113" s="2"/>
      <c r="Z113" s="2"/>
      <c r="AA113" s="2"/>
      <c r="AB113" s="2"/>
    </row>
    <row r="114" spans="23:28" x14ac:dyDescent="0.25">
      <c r="W114" s="2"/>
      <c r="X114" s="2"/>
      <c r="Y114" s="2"/>
      <c r="Z114" s="2"/>
      <c r="AA114" s="2"/>
      <c r="AB114" s="2"/>
    </row>
    <row r="115" spans="23:28" x14ac:dyDescent="0.25">
      <c r="W115" s="2"/>
      <c r="X115" s="2"/>
      <c r="Y115" s="2"/>
      <c r="Z115" s="2"/>
      <c r="AA115" s="2"/>
      <c r="AB115" s="2"/>
    </row>
    <row r="116" spans="23:28" x14ac:dyDescent="0.25">
      <c r="W116" s="2"/>
      <c r="X116" s="2"/>
      <c r="Y116" s="2"/>
      <c r="Z116" s="2"/>
      <c r="AA116" s="2"/>
      <c r="AB116" s="2"/>
    </row>
    <row r="117" spans="23:28" x14ac:dyDescent="0.25">
      <c r="W117" s="2"/>
      <c r="X117" s="2"/>
      <c r="Y117" s="2"/>
      <c r="Z117" s="2"/>
      <c r="AA117" s="2"/>
      <c r="AB117" s="2"/>
    </row>
    <row r="118" spans="23:28" x14ac:dyDescent="0.25">
      <c r="W118" s="2"/>
      <c r="X118" s="2"/>
      <c r="Y118" s="2"/>
      <c r="Z118" s="2"/>
      <c r="AA118" s="2"/>
      <c r="AB118" s="2"/>
    </row>
    <row r="119" spans="23:28" x14ac:dyDescent="0.25">
      <c r="W119" s="2"/>
      <c r="X119" s="2"/>
      <c r="Y119" s="2"/>
      <c r="Z119" s="2"/>
      <c r="AA119" s="2"/>
      <c r="AB119" s="2"/>
    </row>
    <row r="120" spans="23:28" x14ac:dyDescent="0.25">
      <c r="W120" s="2"/>
      <c r="X120" s="2"/>
      <c r="Y120" s="2"/>
      <c r="Z120" s="2"/>
      <c r="AA120" s="2"/>
      <c r="AB120" s="2"/>
    </row>
    <row r="121" spans="23:28" x14ac:dyDescent="0.25">
      <c r="W121" s="2"/>
      <c r="X121" s="2"/>
      <c r="Y121" s="2"/>
      <c r="Z121" s="2"/>
      <c r="AA121" s="2"/>
      <c r="AB121" s="2"/>
    </row>
    <row r="122" spans="23:28" x14ac:dyDescent="0.25">
      <c r="W122" s="2"/>
      <c r="X122" s="2"/>
      <c r="Y122" s="2"/>
      <c r="Z122" s="2"/>
      <c r="AA122" s="2"/>
      <c r="AB122" s="2"/>
    </row>
    <row r="123" spans="23:28" x14ac:dyDescent="0.25">
      <c r="W123" s="2"/>
      <c r="X123" s="2"/>
      <c r="Y123" s="2"/>
      <c r="Z123" s="2"/>
      <c r="AA123" s="2"/>
      <c r="AB123" s="2"/>
    </row>
    <row r="124" spans="23:28" x14ac:dyDescent="0.25">
      <c r="W124" s="2"/>
      <c r="X124" s="2"/>
      <c r="Y124" s="2"/>
      <c r="Z124" s="2"/>
      <c r="AA124" s="2"/>
      <c r="AB124" s="2"/>
    </row>
    <row r="125" spans="23:28" x14ac:dyDescent="0.25">
      <c r="W125" s="2"/>
      <c r="X125" s="2"/>
      <c r="Y125" s="2"/>
      <c r="Z125" s="2"/>
      <c r="AA125" s="2"/>
      <c r="AB125" s="2"/>
    </row>
    <row r="126" spans="23:28" x14ac:dyDescent="0.25">
      <c r="W126" s="2"/>
      <c r="X126" s="2"/>
      <c r="Y126" s="2"/>
      <c r="Z126" s="2"/>
      <c r="AA126" s="2"/>
      <c r="AB126" s="2"/>
    </row>
    <row r="127" spans="23:28" x14ac:dyDescent="0.25">
      <c r="W127" s="2"/>
      <c r="X127" s="2"/>
      <c r="Y127" s="2"/>
      <c r="Z127" s="2"/>
      <c r="AA127" s="2"/>
      <c r="AB127" s="2"/>
    </row>
    <row r="128" spans="23:28" x14ac:dyDescent="0.25">
      <c r="W128" s="2"/>
      <c r="X128" s="2"/>
      <c r="Y128" s="2"/>
      <c r="Z128" s="2"/>
      <c r="AA128" s="2"/>
      <c r="AB128" s="2"/>
    </row>
    <row r="129" spans="23:28" x14ac:dyDescent="0.25">
      <c r="W129" s="2"/>
      <c r="X129" s="2"/>
      <c r="Y129" s="2"/>
      <c r="Z129" s="2"/>
      <c r="AA129" s="2"/>
      <c r="AB129" s="2"/>
    </row>
    <row r="130" spans="23:28" x14ac:dyDescent="0.25">
      <c r="W130" s="2"/>
      <c r="X130" s="2"/>
      <c r="Y130" s="2"/>
      <c r="Z130" s="2"/>
      <c r="AA130" s="2"/>
      <c r="AB130" s="2"/>
    </row>
    <row r="131" spans="23:28" x14ac:dyDescent="0.25">
      <c r="W131" s="2"/>
      <c r="X131" s="2"/>
      <c r="Y131" s="2"/>
      <c r="Z131" s="2"/>
      <c r="AA131" s="2"/>
      <c r="AB131" s="2"/>
    </row>
    <row r="132" spans="23:28" x14ac:dyDescent="0.25">
      <c r="W132" s="2"/>
      <c r="X132" s="2"/>
      <c r="Y132" s="2"/>
      <c r="Z132" s="2"/>
      <c r="AA132" s="2"/>
      <c r="AB132" s="2"/>
    </row>
    <row r="133" spans="23:28" x14ac:dyDescent="0.25">
      <c r="W133" s="2"/>
      <c r="X133" s="2"/>
      <c r="Y133" s="2"/>
      <c r="Z133" s="2"/>
      <c r="AA133" s="2"/>
      <c r="AB133" s="2"/>
    </row>
    <row r="134" spans="23:28" x14ac:dyDescent="0.25">
      <c r="W134" s="2"/>
      <c r="X134" s="2"/>
      <c r="Y134" s="2"/>
      <c r="Z134" s="2"/>
      <c r="AA134" s="2"/>
      <c r="AB134" s="2"/>
    </row>
    <row r="135" spans="23:28" x14ac:dyDescent="0.25">
      <c r="W135" s="2"/>
      <c r="X135" s="2"/>
      <c r="Y135" s="2"/>
      <c r="Z135" s="2"/>
      <c r="AA135" s="2"/>
      <c r="AB135" s="2"/>
    </row>
    <row r="136" spans="23:28" x14ac:dyDescent="0.25">
      <c r="W136" s="2"/>
      <c r="X136" s="2"/>
      <c r="Y136" s="2"/>
      <c r="Z136" s="2"/>
      <c r="AA136" s="2"/>
      <c r="AB136" s="2"/>
    </row>
    <row r="137" spans="23:28" x14ac:dyDescent="0.25">
      <c r="W137" s="2"/>
      <c r="X137" s="2"/>
      <c r="Y137" s="2"/>
      <c r="Z137" s="2"/>
      <c r="AA137" s="2"/>
      <c r="AB137" s="2"/>
    </row>
    <row r="138" spans="23:28" x14ac:dyDescent="0.25">
      <c r="W138" s="2"/>
      <c r="X138" s="2"/>
      <c r="Y138" s="2"/>
      <c r="Z138" s="2"/>
      <c r="AA138" s="2"/>
      <c r="AB138" s="2"/>
    </row>
    <row r="139" spans="23:28" x14ac:dyDescent="0.25">
      <c r="W139" s="2"/>
      <c r="X139" s="2"/>
      <c r="Y139" s="2"/>
      <c r="Z139" s="2"/>
      <c r="AA139" s="2"/>
      <c r="AB139" s="2"/>
    </row>
    <row r="140" spans="23:28" x14ac:dyDescent="0.25">
      <c r="W140" s="2"/>
      <c r="X140" s="2"/>
      <c r="Y140" s="2"/>
      <c r="Z140" s="2"/>
      <c r="AA140" s="2"/>
      <c r="AB140" s="2"/>
    </row>
    <row r="141" spans="23:28" x14ac:dyDescent="0.25">
      <c r="W141" s="2"/>
      <c r="X141" s="2"/>
      <c r="Y141" s="2"/>
      <c r="Z141" s="2"/>
      <c r="AA141" s="2"/>
      <c r="AB141" s="2"/>
    </row>
    <row r="142" spans="23:28" x14ac:dyDescent="0.25">
      <c r="W142" s="2"/>
      <c r="X142" s="2"/>
      <c r="Y142" s="2"/>
      <c r="Z142" s="2"/>
      <c r="AA142" s="2"/>
      <c r="AB142" s="2"/>
    </row>
    <row r="143" spans="23:28" x14ac:dyDescent="0.25">
      <c r="W143" s="2"/>
      <c r="X143" s="2"/>
      <c r="Y143" s="2"/>
      <c r="Z143" s="2"/>
      <c r="AA143" s="2"/>
      <c r="AB143" s="2"/>
    </row>
    <row r="144" spans="23:28" x14ac:dyDescent="0.25">
      <c r="W144" s="2"/>
      <c r="X144" s="2"/>
      <c r="Y144" s="2"/>
      <c r="Z144" s="2"/>
      <c r="AA144" s="2"/>
      <c r="AB144" s="2"/>
    </row>
    <row r="145" spans="23:28" x14ac:dyDescent="0.25">
      <c r="W145" s="2"/>
      <c r="X145" s="2"/>
      <c r="Y145" s="2"/>
      <c r="Z145" s="2"/>
      <c r="AA145" s="2"/>
      <c r="AB145" s="2"/>
    </row>
    <row r="146" spans="23:28" x14ac:dyDescent="0.25">
      <c r="W146" s="2"/>
      <c r="X146" s="2"/>
      <c r="Y146" s="2"/>
      <c r="Z146" s="2"/>
      <c r="AA146" s="2"/>
      <c r="AB146" s="2"/>
    </row>
    <row r="147" spans="23:28" x14ac:dyDescent="0.25">
      <c r="W147" s="2"/>
      <c r="X147" s="2"/>
      <c r="Y147" s="2"/>
      <c r="Z147" s="2"/>
      <c r="AA147" s="2"/>
      <c r="AB147" s="2"/>
    </row>
    <row r="148" spans="23:28" x14ac:dyDescent="0.25">
      <c r="W148" s="2"/>
      <c r="X148" s="2"/>
      <c r="Y148" s="2"/>
      <c r="Z148" s="2"/>
      <c r="AA148" s="2"/>
      <c r="AB148" s="2"/>
    </row>
    <row r="149" spans="23:28" x14ac:dyDescent="0.25">
      <c r="W149" s="2"/>
      <c r="X149" s="2"/>
      <c r="Y149" s="2"/>
      <c r="Z149" s="2"/>
      <c r="AA149" s="2"/>
      <c r="AB149" s="2"/>
    </row>
    <row r="150" spans="23:28" x14ac:dyDescent="0.25">
      <c r="W150" s="2"/>
      <c r="X150" s="2"/>
      <c r="Y150" s="2"/>
      <c r="Z150" s="2"/>
      <c r="AA150" s="2"/>
      <c r="AB150" s="2"/>
    </row>
    <row r="151" spans="23:28" x14ac:dyDescent="0.25">
      <c r="W151" s="2"/>
      <c r="X151" s="2"/>
      <c r="Y151" s="2"/>
      <c r="Z151" s="2"/>
      <c r="AA151" s="2"/>
      <c r="AB151" s="2"/>
    </row>
    <row r="152" spans="23:28" x14ac:dyDescent="0.25">
      <c r="W152" s="2"/>
      <c r="X152" s="2"/>
      <c r="Y152" s="2"/>
      <c r="Z152" s="2"/>
      <c r="AA152" s="2"/>
      <c r="AB152" s="2"/>
    </row>
    <row r="153" spans="23:28" x14ac:dyDescent="0.25">
      <c r="W153" s="2"/>
      <c r="X153" s="2"/>
      <c r="Y153" s="2"/>
      <c r="Z153" s="2"/>
      <c r="AA153" s="2"/>
      <c r="AB153" s="2"/>
    </row>
    <row r="154" spans="23:28" x14ac:dyDescent="0.25">
      <c r="W154" s="2"/>
      <c r="X154" s="2"/>
      <c r="Y154" s="2"/>
      <c r="Z154" s="2"/>
      <c r="AA154" s="2"/>
      <c r="AB154" s="2"/>
    </row>
    <row r="155" spans="23:28" x14ac:dyDescent="0.25">
      <c r="W155" s="2"/>
      <c r="X155" s="2"/>
      <c r="Y155" s="2"/>
      <c r="Z155" s="2"/>
      <c r="AA155" s="2"/>
      <c r="AB155" s="2"/>
    </row>
    <row r="156" spans="23:28" x14ac:dyDescent="0.25">
      <c r="W156" s="2"/>
      <c r="X156" s="2"/>
      <c r="Y156" s="2"/>
      <c r="Z156" s="2"/>
      <c r="AA156" s="2"/>
      <c r="AB156" s="2"/>
    </row>
    <row r="157" spans="23:28" x14ac:dyDescent="0.25">
      <c r="W157" s="2"/>
      <c r="X157" s="2"/>
      <c r="Y157" s="2"/>
      <c r="Z157" s="2"/>
      <c r="AA157" s="2"/>
      <c r="AB157" s="2"/>
    </row>
    <row r="158" spans="23:28" x14ac:dyDescent="0.25">
      <c r="W158" s="2"/>
      <c r="X158" s="2"/>
      <c r="Y158" s="2"/>
      <c r="Z158" s="2"/>
      <c r="AA158" s="2"/>
      <c r="AB158" s="2"/>
    </row>
    <row r="159" spans="23:28" x14ac:dyDescent="0.25">
      <c r="W159" s="2"/>
      <c r="X159" s="2"/>
      <c r="Y159" s="2"/>
      <c r="Z159" s="2"/>
      <c r="AA159" s="2"/>
      <c r="AB159" s="2"/>
    </row>
    <row r="160" spans="23:28" x14ac:dyDescent="0.25">
      <c r="W160" s="2"/>
      <c r="X160" s="2"/>
      <c r="Y160" s="2"/>
      <c r="Z160" s="2"/>
      <c r="AA160" s="2"/>
      <c r="AB160" s="2"/>
    </row>
    <row r="161" spans="23:28" x14ac:dyDescent="0.25">
      <c r="W161" s="2"/>
      <c r="X161" s="2"/>
      <c r="Y161" s="2"/>
      <c r="Z161" s="2"/>
      <c r="AA161" s="2"/>
      <c r="AB161" s="2"/>
    </row>
    <row r="162" spans="23:28" x14ac:dyDescent="0.25">
      <c r="W162" s="2"/>
      <c r="X162" s="2"/>
      <c r="Y162" s="2"/>
      <c r="Z162" s="2"/>
      <c r="AA162" s="2"/>
      <c r="AB162" s="2"/>
    </row>
    <row r="163" spans="23:28" x14ac:dyDescent="0.25">
      <c r="W163" s="2"/>
      <c r="X163" s="2"/>
      <c r="Y163" s="2"/>
      <c r="Z163" s="2"/>
      <c r="AA163" s="2"/>
      <c r="AB163" s="2"/>
    </row>
    <row r="164" spans="23:28" x14ac:dyDescent="0.25">
      <c r="W164" s="2"/>
      <c r="X164" s="2"/>
      <c r="Y164" s="2"/>
      <c r="Z164" s="2"/>
      <c r="AA164" s="2"/>
      <c r="AB164" s="2"/>
    </row>
    <row r="165" spans="23:28" x14ac:dyDescent="0.25">
      <c r="W165" s="2"/>
      <c r="X165" s="2"/>
      <c r="Y165" s="2"/>
      <c r="Z165" s="2"/>
      <c r="AA165" s="2"/>
      <c r="AB165" s="2"/>
    </row>
    <row r="166" spans="23:28" x14ac:dyDescent="0.25">
      <c r="W166" s="2"/>
      <c r="X166" s="2"/>
      <c r="Y166" s="2"/>
      <c r="Z166" s="2"/>
      <c r="AA166" s="2"/>
      <c r="AB166" s="2"/>
    </row>
    <row r="167" spans="23:28" x14ac:dyDescent="0.25">
      <c r="W167" s="2"/>
      <c r="X167" s="2"/>
      <c r="Y167" s="2"/>
      <c r="Z167" s="2"/>
      <c r="AA167" s="2"/>
      <c r="AB167" s="2"/>
    </row>
    <row r="168" spans="23:28" x14ac:dyDescent="0.25">
      <c r="W168" s="2"/>
      <c r="X168" s="2"/>
      <c r="Y168" s="2"/>
      <c r="Z168" s="2"/>
      <c r="AA168" s="2"/>
      <c r="AB168" s="2"/>
    </row>
    <row r="169" spans="23:28" x14ac:dyDescent="0.25">
      <c r="W169" s="2"/>
      <c r="X169" s="2"/>
      <c r="Y169" s="2"/>
      <c r="Z169" s="2"/>
      <c r="AA169" s="2"/>
      <c r="AB169" s="2"/>
    </row>
    <row r="170" spans="23:28" x14ac:dyDescent="0.25">
      <c r="W170" s="2"/>
      <c r="X170" s="2"/>
      <c r="Y170" s="2"/>
      <c r="Z170" s="2"/>
      <c r="AA170" s="2"/>
      <c r="AB170" s="2"/>
    </row>
    <row r="171" spans="23:28" x14ac:dyDescent="0.25">
      <c r="W171" s="2"/>
      <c r="X171" s="2"/>
      <c r="Y171" s="2"/>
      <c r="Z171" s="2"/>
      <c r="AA171" s="2"/>
      <c r="AB171" s="2"/>
    </row>
    <row r="172" spans="23:28" x14ac:dyDescent="0.25">
      <c r="W172" s="2"/>
      <c r="X172" s="2"/>
      <c r="Y172" s="2"/>
      <c r="Z172" s="2"/>
      <c r="AA172" s="2"/>
      <c r="AB172" s="2"/>
    </row>
    <row r="173" spans="23:28" x14ac:dyDescent="0.25">
      <c r="W173" s="2"/>
      <c r="X173" s="2"/>
      <c r="Y173" s="2"/>
      <c r="Z173" s="2"/>
      <c r="AA173" s="2"/>
      <c r="AB173" s="2"/>
    </row>
    <row r="174" spans="23:28" x14ac:dyDescent="0.25">
      <c r="W174" s="2"/>
      <c r="X174" s="2"/>
      <c r="Y174" s="2"/>
      <c r="Z174" s="2"/>
      <c r="AA174" s="2"/>
      <c r="AB174" s="2"/>
    </row>
    <row r="175" spans="23:28" x14ac:dyDescent="0.25">
      <c r="W175" s="2"/>
      <c r="X175" s="2"/>
      <c r="Y175" s="2"/>
      <c r="Z175" s="2"/>
      <c r="AA175" s="2"/>
      <c r="AB175" s="2"/>
    </row>
    <row r="176" spans="23:28" x14ac:dyDescent="0.25">
      <c r="W176" s="2"/>
      <c r="X176" s="2"/>
      <c r="Y176" s="2"/>
      <c r="Z176" s="2"/>
      <c r="AA176" s="2"/>
      <c r="AB176" s="2"/>
    </row>
    <row r="177" spans="23:28" x14ac:dyDescent="0.25">
      <c r="W177" s="2"/>
      <c r="X177" s="2"/>
      <c r="Y177" s="2"/>
      <c r="Z177" s="2"/>
      <c r="AA177" s="2"/>
      <c r="AB177" s="2"/>
    </row>
    <row r="178" spans="23:28" x14ac:dyDescent="0.25">
      <c r="W178" s="2"/>
      <c r="X178" s="2"/>
      <c r="Y178" s="2"/>
      <c r="Z178" s="2"/>
      <c r="AA178" s="2"/>
      <c r="AB178" s="2"/>
    </row>
    <row r="179" spans="23:28" x14ac:dyDescent="0.25">
      <c r="W179" s="2"/>
      <c r="X179" s="2"/>
      <c r="Y179" s="2"/>
      <c r="Z179" s="2"/>
      <c r="AA179" s="2"/>
      <c r="AB179" s="2"/>
    </row>
    <row r="180" spans="23:28" x14ac:dyDescent="0.25">
      <c r="W180" s="2"/>
      <c r="X180" s="2"/>
      <c r="Y180" s="2"/>
      <c r="Z180" s="2"/>
      <c r="AA180" s="2"/>
      <c r="AB180" s="2"/>
    </row>
    <row r="181" spans="23:28" x14ac:dyDescent="0.25">
      <c r="W181" s="2"/>
      <c r="X181" s="2"/>
      <c r="Y181" s="2"/>
      <c r="Z181" s="2"/>
      <c r="AA181" s="2"/>
      <c r="AB181" s="2"/>
    </row>
    <row r="182" spans="23:28" x14ac:dyDescent="0.25">
      <c r="W182" s="2"/>
      <c r="X182" s="2"/>
      <c r="Y182" s="2"/>
      <c r="Z182" s="2"/>
      <c r="AA182" s="2"/>
      <c r="AB182" s="2"/>
    </row>
    <row r="183" spans="23:28" x14ac:dyDescent="0.25">
      <c r="W183" s="2"/>
      <c r="X183" s="2"/>
      <c r="Y183" s="2"/>
      <c r="Z183" s="2"/>
      <c r="AA183" s="2"/>
      <c r="AB183" s="2"/>
    </row>
    <row r="184" spans="23:28" x14ac:dyDescent="0.25">
      <c r="W184" s="2"/>
      <c r="X184" s="2"/>
      <c r="Y184" s="2"/>
      <c r="Z184" s="2"/>
      <c r="AA184" s="2"/>
      <c r="AB184" s="2"/>
    </row>
    <row r="185" spans="23:28" x14ac:dyDescent="0.25">
      <c r="W185" s="2"/>
      <c r="X185" s="2"/>
      <c r="Y185" s="2"/>
      <c r="Z185" s="2"/>
      <c r="AA185" s="2"/>
      <c r="AB185" s="2"/>
    </row>
    <row r="186" spans="23:28" x14ac:dyDescent="0.25">
      <c r="W186" s="2"/>
      <c r="X186" s="2"/>
      <c r="Y186" s="2"/>
      <c r="Z186" s="2"/>
      <c r="AA186" s="2"/>
      <c r="AB186" s="2"/>
    </row>
    <row r="187" spans="23:28" x14ac:dyDescent="0.25">
      <c r="W187" s="2"/>
      <c r="X187" s="2"/>
      <c r="Y187" s="2"/>
      <c r="Z187" s="2"/>
      <c r="AA187" s="2"/>
      <c r="AB187" s="2"/>
    </row>
    <row r="188" spans="23:28" x14ac:dyDescent="0.25">
      <c r="W188" s="2"/>
      <c r="X188" s="2"/>
      <c r="Y188" s="2"/>
      <c r="Z188" s="2"/>
      <c r="AA188" s="2"/>
      <c r="AB188" s="2"/>
    </row>
    <row r="189" spans="23:28" x14ac:dyDescent="0.25">
      <c r="W189" s="2"/>
      <c r="X189" s="2"/>
      <c r="Y189" s="2"/>
      <c r="Z189" s="2"/>
      <c r="AA189" s="2"/>
      <c r="AB189" s="2"/>
    </row>
    <row r="190" spans="23:28" x14ac:dyDescent="0.25">
      <c r="W190" s="2"/>
      <c r="X190" s="2"/>
      <c r="Y190" s="2"/>
      <c r="Z190" s="2"/>
      <c r="AA190" s="2"/>
      <c r="AB190" s="2"/>
    </row>
    <row r="191" spans="23:28" x14ac:dyDescent="0.25">
      <c r="W191" s="2"/>
      <c r="X191" s="2"/>
      <c r="Y191" s="2"/>
      <c r="Z191" s="2"/>
      <c r="AA191" s="2"/>
      <c r="AB191" s="2"/>
    </row>
    <row r="192" spans="23:28" x14ac:dyDescent="0.25">
      <c r="W192" s="2"/>
      <c r="X192" s="2"/>
      <c r="Y192" s="2"/>
      <c r="Z192" s="2"/>
      <c r="AA192" s="2"/>
      <c r="AB192" s="2"/>
    </row>
    <row r="193" spans="23:28" x14ac:dyDescent="0.25">
      <c r="W193" s="2"/>
      <c r="X193" s="2"/>
      <c r="Y193" s="2"/>
      <c r="Z193" s="2"/>
      <c r="AA193" s="2"/>
      <c r="AB193" s="2"/>
    </row>
  </sheetData>
  <pageMargins left="0.7" right="0.7" top="0.75" bottom="0.75" header="0.3" footer="0.3"/>
  <pageSetup scale="8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12" sqref="M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1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2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O1:O26"/>
  <sheetViews>
    <sheetView workbookViewId="0">
      <selection activeCell="H16" sqref="H16"/>
    </sheetView>
  </sheetViews>
  <sheetFormatPr defaultRowHeight="15" x14ac:dyDescent="0.25"/>
  <sheetData>
    <row r="1" spans="15:15" s="7" customFormat="1" x14ac:dyDescent="0.25"/>
    <row r="2" spans="15:15" s="7" customFormat="1" x14ac:dyDescent="0.25"/>
    <row r="3" spans="15:15" s="7" customFormat="1" x14ac:dyDescent="0.25"/>
    <row r="4" spans="15:15" s="7" customFormat="1" x14ac:dyDescent="0.25"/>
    <row r="5" spans="15:15" s="7" customFormat="1" x14ac:dyDescent="0.25"/>
    <row r="6" spans="15:15" s="7" customFormat="1" x14ac:dyDescent="0.25"/>
    <row r="7" spans="15:15" s="7" customFormat="1" x14ac:dyDescent="0.25"/>
    <row r="8" spans="15:15" s="7" customFormat="1" x14ac:dyDescent="0.25"/>
    <row r="9" spans="15:15" s="7" customFormat="1" x14ac:dyDescent="0.25"/>
    <row r="10" spans="15:15" s="7" customFormat="1" ht="15" customHeight="1" x14ac:dyDescent="0.25">
      <c r="O10" s="6"/>
    </row>
    <row r="11" spans="15:15" s="7" customFormat="1" x14ac:dyDescent="0.25"/>
    <row r="12" spans="15:15" s="7" customFormat="1" x14ac:dyDescent="0.25"/>
    <row r="13" spans="15:15" s="7" customFormat="1" x14ac:dyDescent="0.25"/>
    <row r="14" spans="15:15" s="7" customFormat="1" x14ac:dyDescent="0.25"/>
    <row r="15" spans="15:15" s="7" customFormat="1" x14ac:dyDescent="0.25"/>
    <row r="16" spans="15:15" s="7" customFormat="1" x14ac:dyDescent="0.25"/>
    <row r="17" s="7" customFormat="1" x14ac:dyDescent="0.25"/>
    <row r="18" s="7" customFormat="1" x14ac:dyDescent="0.25"/>
    <row r="19" s="7" customFormat="1" x14ac:dyDescent="0.25"/>
    <row r="20" s="7" customFormat="1" x14ac:dyDescent="0.25"/>
    <row r="21" s="7" customFormat="1" x14ac:dyDescent="0.25"/>
    <row r="22" s="7" customFormat="1" x14ac:dyDescent="0.25"/>
    <row r="23" s="7" customFormat="1" x14ac:dyDescent="0.25"/>
    <row r="24" s="7" customFormat="1" x14ac:dyDescent="0.25"/>
    <row r="25" s="7" customFormat="1" x14ac:dyDescent="0.25"/>
    <row r="26" s="7" customForma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2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49" r:id="rId3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F2:F6"/>
  <sheetViews>
    <sheetView workbookViewId="0">
      <selection activeCell="H14" sqref="H14"/>
    </sheetView>
  </sheetViews>
  <sheetFormatPr defaultRowHeight="15" x14ac:dyDescent="0.25"/>
  <sheetData>
    <row r="2" spans="6:6" x14ac:dyDescent="0.25">
      <c r="F2" t="s">
        <v>39</v>
      </c>
    </row>
    <row r="3" spans="6:6" x14ac:dyDescent="0.25">
      <c r="F3" t="s">
        <v>42</v>
      </c>
    </row>
    <row r="4" spans="6:6" x14ac:dyDescent="0.25">
      <c r="F4" t="s">
        <v>43</v>
      </c>
    </row>
    <row r="5" spans="6:6" x14ac:dyDescent="0.25">
      <c r="F5" t="s">
        <v>40</v>
      </c>
    </row>
    <row r="6" spans="6:6" x14ac:dyDescent="0.25">
      <c r="F6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3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7170" r:id="rId3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F2:F6"/>
  <sheetViews>
    <sheetView workbookViewId="0">
      <selection activeCell="G15" sqref="G15"/>
    </sheetView>
  </sheetViews>
  <sheetFormatPr defaultRowHeight="15" x14ac:dyDescent="0.25"/>
  <sheetData>
    <row r="2" spans="6:6" x14ac:dyDescent="0.25">
      <c r="F2" t="s">
        <v>44</v>
      </c>
    </row>
    <row r="3" spans="6:6" x14ac:dyDescent="0.25">
      <c r="F3" t="s">
        <v>45</v>
      </c>
    </row>
    <row r="4" spans="6:6" x14ac:dyDescent="0.25">
      <c r="F4" t="s">
        <v>46</v>
      </c>
    </row>
    <row r="5" spans="6:6" x14ac:dyDescent="0.25">
      <c r="F5" t="s">
        <v>47</v>
      </c>
    </row>
    <row r="6" spans="6:6" x14ac:dyDescent="0.25">
      <c r="F6" t="s">
        <v>48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4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4337" r:id="rId3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L27"/>
  <sheetViews>
    <sheetView topLeftCell="E1" workbookViewId="0">
      <selection activeCell="G4" sqref="G4"/>
    </sheetView>
  </sheetViews>
  <sheetFormatPr defaultRowHeight="15" x14ac:dyDescent="0.25"/>
  <cols>
    <col min="3" max="3" width="9.140625" customWidth="1"/>
    <col min="4" max="4" width="9.140625" style="1" customWidth="1"/>
    <col min="5" max="5" width="9.140625" customWidth="1"/>
    <col min="6" max="6" width="30.7109375" style="1" customWidth="1"/>
    <col min="7" max="9" width="15.7109375" customWidth="1"/>
  </cols>
  <sheetData>
    <row r="1" spans="6:12" ht="15.75" thickBot="1" x14ac:dyDescent="0.3"/>
    <row r="2" spans="6:12" ht="16.5" thickTop="1" thickBot="1" x14ac:dyDescent="0.3">
      <c r="F2" s="8" t="s">
        <v>52</v>
      </c>
      <c r="G2" s="8" t="s">
        <v>53</v>
      </c>
      <c r="H2" s="8" t="s">
        <v>4</v>
      </c>
      <c r="I2" s="8" t="s">
        <v>54</v>
      </c>
    </row>
    <row r="3" spans="6:12" ht="15.75" thickTop="1" x14ac:dyDescent="0.25">
      <c r="F3" s="12" t="s">
        <v>50</v>
      </c>
      <c r="G3" s="9">
        <v>2.0000000000000001E-4</v>
      </c>
      <c r="H3" s="9" t="s">
        <v>0</v>
      </c>
      <c r="I3" s="9" t="s">
        <v>5</v>
      </c>
    </row>
    <row r="4" spans="6:12" x14ac:dyDescent="0.25">
      <c r="F4" s="13" t="s">
        <v>49</v>
      </c>
      <c r="G4" s="10">
        <v>2.5399999999999999E-2</v>
      </c>
      <c r="H4" s="10" t="s">
        <v>0</v>
      </c>
      <c r="I4" s="10" t="s">
        <v>6</v>
      </c>
    </row>
    <row r="5" spans="6:12" ht="15.75" thickBot="1" x14ac:dyDescent="0.3">
      <c r="F5" s="14" t="s">
        <v>51</v>
      </c>
      <c r="G5" s="11">
        <v>6000</v>
      </c>
      <c r="H5" s="11"/>
      <c r="I5" s="11" t="s">
        <v>7</v>
      </c>
    </row>
    <row r="6" spans="6:12" ht="16.5" thickTop="1" thickBot="1" x14ac:dyDescent="0.3">
      <c r="F6"/>
      <c r="G6" s="1"/>
      <c r="H6" s="1"/>
      <c r="I6" s="1"/>
    </row>
    <row r="7" spans="6:12" ht="16.5" thickTop="1" thickBot="1" x14ac:dyDescent="0.3">
      <c r="F7" s="15" t="s">
        <v>55</v>
      </c>
      <c r="G7" s="15" t="s">
        <v>53</v>
      </c>
      <c r="H7" s="15" t="s">
        <v>54</v>
      </c>
    </row>
    <row r="8" spans="6:12" ht="16.5" thickTop="1" thickBot="1" x14ac:dyDescent="0.3">
      <c r="F8" s="16" t="s">
        <v>57</v>
      </c>
      <c r="G8" s="17">
        <v>4.3481911340132656E-2</v>
      </c>
      <c r="H8" s="10" t="s">
        <v>8</v>
      </c>
    </row>
    <row r="9" spans="6:12" ht="16.5" thickTop="1" thickBot="1" x14ac:dyDescent="0.3">
      <c r="F9" s="16" t="s">
        <v>1</v>
      </c>
      <c r="G9" s="18">
        <f>1/SQRT(f)</f>
        <v>4.7956302050088127</v>
      </c>
      <c r="H9" s="10"/>
      <c r="K9" s="36" t="s">
        <v>3</v>
      </c>
      <c r="L9" s="36"/>
    </row>
    <row r="10" spans="6:12" ht="16.5" thickTop="1" thickBot="1" x14ac:dyDescent="0.3">
      <c r="F10" s="16" t="s">
        <v>2</v>
      </c>
      <c r="G10" s="18">
        <f>-2*LOG10(Rh/(3.7*Dh)+2.51/(Re*SQRT(f)))</f>
        <v>4.7671993165725191</v>
      </c>
      <c r="H10" s="10"/>
      <c r="K10" s="15" t="s">
        <v>59</v>
      </c>
      <c r="L10" s="15" t="s">
        <v>8</v>
      </c>
    </row>
    <row r="11" spans="6:12" ht="16.5" thickTop="1" thickBot="1" x14ac:dyDescent="0.3">
      <c r="F11" s="19" t="s">
        <v>58</v>
      </c>
      <c r="G11" s="11">
        <f>(G9-G10)^2</f>
        <v>8.0831541727697316E-4</v>
      </c>
      <c r="H11" s="11" t="s">
        <v>56</v>
      </c>
      <c r="K11" s="9">
        <v>5.0000000000000002E-5</v>
      </c>
      <c r="L11" s="9">
        <v>3.7499999999999999E-2</v>
      </c>
    </row>
    <row r="12" spans="6:12" ht="16.5" thickTop="1" thickBot="1" x14ac:dyDescent="0.3">
      <c r="F12"/>
      <c r="G12" s="1"/>
      <c r="H12" s="1"/>
      <c r="I12" s="1"/>
      <c r="K12" s="11">
        <v>2.0000000000000001E-4</v>
      </c>
      <c r="L12" s="11">
        <v>4.3499999999999997E-2</v>
      </c>
    </row>
    <row r="13" spans="6:12" ht="15.75" thickTop="1" x14ac:dyDescent="0.25">
      <c r="F13"/>
      <c r="G13" s="7"/>
      <c r="H13" s="7"/>
      <c r="I13" s="1"/>
    </row>
    <row r="14" spans="6:12" x14ac:dyDescent="0.25">
      <c r="I14" s="1"/>
    </row>
    <row r="15" spans="6:12" x14ac:dyDescent="0.25">
      <c r="I15" s="1"/>
    </row>
    <row r="21" spans="5:9" x14ac:dyDescent="0.25">
      <c r="I21" s="1"/>
    </row>
    <row r="22" spans="5:9" x14ac:dyDescent="0.25">
      <c r="E22" s="1"/>
    </row>
    <row r="23" spans="5:9" x14ac:dyDescent="0.25">
      <c r="E23" s="1"/>
    </row>
    <row r="24" spans="5:9" x14ac:dyDescent="0.25">
      <c r="E24" s="1"/>
    </row>
    <row r="25" spans="5:9" x14ac:dyDescent="0.25">
      <c r="E25" s="1"/>
    </row>
    <row r="26" spans="5:9" x14ac:dyDescent="0.25">
      <c r="E26" s="1"/>
    </row>
    <row r="27" spans="5:9" x14ac:dyDescent="0.25">
      <c r="E27" s="1"/>
    </row>
  </sheetData>
  <mergeCells count="1">
    <mergeCell ref="K9:L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L1:P12"/>
  <sheetViews>
    <sheetView topLeftCell="I1" workbookViewId="0">
      <selection activeCell="N5" sqref="N5"/>
    </sheetView>
  </sheetViews>
  <sheetFormatPr defaultRowHeight="15" x14ac:dyDescent="0.25"/>
  <cols>
    <col min="12" max="12" width="35.7109375" customWidth="1"/>
    <col min="13" max="16" width="15.7109375" customWidth="1"/>
  </cols>
  <sheetData>
    <row r="1" spans="12:16" ht="15.75" thickBot="1" x14ac:dyDescent="0.3"/>
    <row r="2" spans="12:16" ht="16.5" thickTop="1" thickBot="1" x14ac:dyDescent="0.3">
      <c r="L2" s="15" t="s">
        <v>52</v>
      </c>
      <c r="M2" s="15" t="s">
        <v>66</v>
      </c>
      <c r="N2" s="15" t="s">
        <v>53</v>
      </c>
      <c r="O2" s="15" t="s">
        <v>4</v>
      </c>
      <c r="P2" s="15" t="s">
        <v>54</v>
      </c>
    </row>
    <row r="3" spans="12:16" ht="15.75" thickTop="1" x14ac:dyDescent="0.25">
      <c r="L3" s="16" t="s">
        <v>63</v>
      </c>
      <c r="M3" s="16" t="s">
        <v>60</v>
      </c>
      <c r="N3" s="25">
        <v>0.83</v>
      </c>
      <c r="O3" s="16" t="s">
        <v>69</v>
      </c>
      <c r="P3" s="16" t="s">
        <v>72</v>
      </c>
    </row>
    <row r="4" spans="12:16" ht="18" x14ac:dyDescent="0.25">
      <c r="L4" s="16" t="s">
        <v>61</v>
      </c>
      <c r="M4" s="16" t="s">
        <v>62</v>
      </c>
      <c r="N4" s="25">
        <v>1.1000000000000001</v>
      </c>
      <c r="O4" s="16" t="s">
        <v>69</v>
      </c>
      <c r="P4" s="16" t="s">
        <v>73</v>
      </c>
    </row>
    <row r="5" spans="12:16" ht="15.75" thickBot="1" x14ac:dyDescent="0.3">
      <c r="L5" s="19" t="s">
        <v>64</v>
      </c>
      <c r="M5" s="19" t="s">
        <v>65</v>
      </c>
      <c r="N5" s="22">
        <v>5</v>
      </c>
      <c r="O5" s="19" t="s">
        <v>70</v>
      </c>
      <c r="P5" s="19" t="s">
        <v>65</v>
      </c>
    </row>
    <row r="6" spans="12:16" ht="16.5" thickTop="1" thickBot="1" x14ac:dyDescent="0.3"/>
    <row r="7" spans="12:16" ht="16.5" thickTop="1" thickBot="1" x14ac:dyDescent="0.3">
      <c r="L7" s="15" t="s">
        <v>55</v>
      </c>
      <c r="M7" s="15" t="s">
        <v>66</v>
      </c>
      <c r="N7" s="15" t="s">
        <v>53</v>
      </c>
      <c r="O7" s="15" t="s">
        <v>4</v>
      </c>
      <c r="P7" s="15" t="s">
        <v>54</v>
      </c>
    </row>
    <row r="8" spans="12:16" ht="15.75" thickTop="1" x14ac:dyDescent="0.25">
      <c r="L8" s="23" t="s">
        <v>67</v>
      </c>
      <c r="M8" s="23" t="s">
        <v>68</v>
      </c>
      <c r="N8" s="26">
        <v>6.2523715225461837E-2</v>
      </c>
      <c r="O8" s="23" t="s">
        <v>71</v>
      </c>
      <c r="P8" s="23" t="s">
        <v>68</v>
      </c>
    </row>
    <row r="9" spans="12:16" x14ac:dyDescent="0.25">
      <c r="L9" s="16" t="s">
        <v>74</v>
      </c>
      <c r="M9" s="24"/>
      <c r="N9" s="25">
        <f>At</f>
        <v>0.83</v>
      </c>
      <c r="O9" s="16" t="s">
        <v>69</v>
      </c>
      <c r="P9" s="24"/>
    </row>
    <row r="10" spans="12:16" x14ac:dyDescent="0.25">
      <c r="L10" s="16" t="s">
        <v>75</v>
      </c>
      <c r="M10" s="24"/>
      <c r="N10" s="25">
        <f>A0*EXP(-k*t)</f>
        <v>0.80468177013603059</v>
      </c>
      <c r="O10" s="16" t="s">
        <v>69</v>
      </c>
      <c r="P10" s="24"/>
    </row>
    <row r="11" spans="12:16" ht="15.75" thickBot="1" x14ac:dyDescent="0.3">
      <c r="L11" s="19" t="s">
        <v>58</v>
      </c>
      <c r="M11" s="20"/>
      <c r="N11" s="19">
        <f>(N9-N10)^2</f>
        <v>6.4101276344479029E-4</v>
      </c>
      <c r="O11" s="20"/>
      <c r="P11" s="19" t="s">
        <v>76</v>
      </c>
    </row>
    <row r="12" spans="12:16" ht="15.75" thickTop="1" x14ac:dyDescent="0.25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F1:H1"/>
  <sheetViews>
    <sheetView workbookViewId="0">
      <selection activeCell="G9" sqref="G9"/>
    </sheetView>
  </sheetViews>
  <sheetFormatPr defaultRowHeight="15" x14ac:dyDescent="0.25"/>
  <cols>
    <col min="6" max="8" width="15.7109375" style="7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21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7409" r:id="rId3" name="CommandButton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F1:H42"/>
  <sheetViews>
    <sheetView workbookViewId="0">
      <selection activeCell="P20" sqref="P20"/>
    </sheetView>
  </sheetViews>
  <sheetFormatPr defaultRowHeight="15" x14ac:dyDescent="0.25"/>
  <cols>
    <col min="6" max="6" width="20.7109375" customWidth="1"/>
    <col min="7" max="7" width="20.7109375" style="5" customWidth="1"/>
    <col min="8" max="8" width="20.7109375" customWidth="1"/>
    <col min="9" max="9" width="9.140625" customWidth="1"/>
    <col min="11" max="13" width="9.140625" customWidth="1"/>
  </cols>
  <sheetData>
    <row r="1" spans="6:8" ht="15.75" thickBot="1" x14ac:dyDescent="0.3"/>
    <row r="2" spans="6:8" ht="16.5" thickTop="1" thickBot="1" x14ac:dyDescent="0.3">
      <c r="F2" s="15" t="s">
        <v>9</v>
      </c>
      <c r="G2" s="15" t="s">
        <v>10</v>
      </c>
      <c r="H2" s="15" t="s">
        <v>11</v>
      </c>
    </row>
    <row r="3" spans="6:8" ht="15.75" thickTop="1" x14ac:dyDescent="0.25">
      <c r="F3" s="28" t="s">
        <v>12</v>
      </c>
      <c r="G3" s="28" t="s">
        <v>13</v>
      </c>
      <c r="H3" s="28">
        <v>1</v>
      </c>
    </row>
    <row r="4" spans="6:8" x14ac:dyDescent="0.25">
      <c r="F4" s="29" t="s">
        <v>14</v>
      </c>
      <c r="G4" s="29" t="s">
        <v>15</v>
      </c>
      <c r="H4" s="29">
        <v>2</v>
      </c>
    </row>
    <row r="5" spans="6:8" x14ac:dyDescent="0.25">
      <c r="F5" s="29" t="s">
        <v>16</v>
      </c>
      <c r="G5" s="29" t="s">
        <v>17</v>
      </c>
      <c r="H5" s="29">
        <v>1</v>
      </c>
    </row>
    <row r="6" spans="6:8" x14ac:dyDescent="0.25">
      <c r="F6" s="29" t="s">
        <v>12</v>
      </c>
      <c r="G6" s="29" t="s">
        <v>18</v>
      </c>
      <c r="H6" s="29">
        <v>1</v>
      </c>
    </row>
    <row r="7" spans="6:8" x14ac:dyDescent="0.25">
      <c r="F7" s="29" t="s">
        <v>12</v>
      </c>
      <c r="G7" s="29" t="s">
        <v>19</v>
      </c>
      <c r="H7" s="29">
        <v>1</v>
      </c>
    </row>
    <row r="8" spans="6:8" x14ac:dyDescent="0.25">
      <c r="F8" s="29" t="s">
        <v>14</v>
      </c>
      <c r="G8" s="29" t="s">
        <v>20</v>
      </c>
      <c r="H8" s="29">
        <v>2</v>
      </c>
    </row>
    <row r="9" spans="6:8" x14ac:dyDescent="0.25">
      <c r="F9" s="29" t="s">
        <v>14</v>
      </c>
      <c r="G9" s="29" t="s">
        <v>21</v>
      </c>
      <c r="H9" s="29">
        <v>1</v>
      </c>
    </row>
    <row r="10" spans="6:8" x14ac:dyDescent="0.25">
      <c r="F10" s="29" t="s">
        <v>12</v>
      </c>
      <c r="G10" s="29" t="s">
        <v>22</v>
      </c>
      <c r="H10" s="29">
        <v>1</v>
      </c>
    </row>
    <row r="11" spans="6:8" x14ac:dyDescent="0.25">
      <c r="F11" s="29" t="s">
        <v>14</v>
      </c>
      <c r="G11" s="29" t="s">
        <v>23</v>
      </c>
      <c r="H11" s="29">
        <v>1</v>
      </c>
    </row>
    <row r="12" spans="6:8" x14ac:dyDescent="0.25">
      <c r="F12" s="29" t="s">
        <v>16</v>
      </c>
      <c r="G12" s="29" t="s">
        <v>24</v>
      </c>
      <c r="H12" s="29">
        <v>2</v>
      </c>
    </row>
    <row r="13" spans="6:8" x14ac:dyDescent="0.25">
      <c r="F13" s="29" t="s">
        <v>12</v>
      </c>
      <c r="G13" s="29" t="s">
        <v>25</v>
      </c>
      <c r="H13" s="29">
        <v>2</v>
      </c>
    </row>
    <row r="14" spans="6:8" x14ac:dyDescent="0.25">
      <c r="F14" s="29" t="s">
        <v>12</v>
      </c>
      <c r="G14" s="29" t="s">
        <v>26</v>
      </c>
      <c r="H14" s="29">
        <v>2</v>
      </c>
    </row>
    <row r="15" spans="6:8" x14ac:dyDescent="0.25">
      <c r="F15" s="29" t="s">
        <v>14</v>
      </c>
      <c r="G15" s="29" t="s">
        <v>27</v>
      </c>
      <c r="H15" s="29">
        <v>2</v>
      </c>
    </row>
    <row r="16" spans="6:8" x14ac:dyDescent="0.25">
      <c r="F16" s="29" t="s">
        <v>14</v>
      </c>
      <c r="G16" s="29" t="s">
        <v>77</v>
      </c>
      <c r="H16" s="29">
        <v>1</v>
      </c>
    </row>
    <row r="17" spans="6:8" x14ac:dyDescent="0.25">
      <c r="F17" s="29" t="s">
        <v>12</v>
      </c>
      <c r="G17" s="29" t="s">
        <v>78</v>
      </c>
      <c r="H17" s="29">
        <v>2</v>
      </c>
    </row>
    <row r="18" spans="6:8" x14ac:dyDescent="0.25">
      <c r="F18" s="29" t="s">
        <v>14</v>
      </c>
      <c r="G18" s="29" t="s">
        <v>79</v>
      </c>
      <c r="H18" s="29">
        <v>1</v>
      </c>
    </row>
    <row r="19" spans="6:8" x14ac:dyDescent="0.25">
      <c r="F19" s="29" t="s">
        <v>16</v>
      </c>
      <c r="G19" s="29" t="s">
        <v>80</v>
      </c>
      <c r="H19" s="29">
        <v>1</v>
      </c>
    </row>
    <row r="20" spans="6:8" x14ac:dyDescent="0.25">
      <c r="F20" s="29" t="s">
        <v>12</v>
      </c>
      <c r="G20" s="29" t="s">
        <v>81</v>
      </c>
      <c r="H20" s="29">
        <v>1</v>
      </c>
    </row>
    <row r="21" spans="6:8" x14ac:dyDescent="0.25">
      <c r="F21" s="29" t="s">
        <v>12</v>
      </c>
      <c r="G21" s="29" t="s">
        <v>82</v>
      </c>
      <c r="H21" s="29">
        <v>2</v>
      </c>
    </row>
    <row r="22" spans="6:8" x14ac:dyDescent="0.25">
      <c r="F22" s="29" t="s">
        <v>14</v>
      </c>
      <c r="G22" s="29" t="s">
        <v>91</v>
      </c>
      <c r="H22" s="29">
        <v>1</v>
      </c>
    </row>
    <row r="23" spans="6:8" x14ac:dyDescent="0.25">
      <c r="F23" s="29" t="s">
        <v>14</v>
      </c>
      <c r="G23" s="29" t="s">
        <v>90</v>
      </c>
      <c r="H23" s="29">
        <v>1</v>
      </c>
    </row>
    <row r="24" spans="6:8" x14ac:dyDescent="0.25">
      <c r="F24" s="29" t="s">
        <v>12</v>
      </c>
      <c r="G24" s="29" t="s">
        <v>28</v>
      </c>
      <c r="H24" s="29">
        <v>1</v>
      </c>
    </row>
    <row r="25" spans="6:8" x14ac:dyDescent="0.25">
      <c r="F25" s="29" t="s">
        <v>14</v>
      </c>
      <c r="G25" s="29" t="s">
        <v>89</v>
      </c>
      <c r="H25" s="29">
        <v>2</v>
      </c>
    </row>
    <row r="26" spans="6:8" x14ac:dyDescent="0.25">
      <c r="F26" s="29" t="s">
        <v>16</v>
      </c>
      <c r="G26" s="29" t="s">
        <v>29</v>
      </c>
      <c r="H26" s="29">
        <v>2</v>
      </c>
    </row>
    <row r="27" spans="6:8" x14ac:dyDescent="0.25">
      <c r="F27" s="29" t="s">
        <v>12</v>
      </c>
      <c r="G27" s="29" t="s">
        <v>88</v>
      </c>
      <c r="H27" s="29">
        <v>2</v>
      </c>
    </row>
    <row r="28" spans="6:8" x14ac:dyDescent="0.25">
      <c r="F28" s="29" t="s">
        <v>12</v>
      </c>
      <c r="G28" s="29" t="s">
        <v>87</v>
      </c>
      <c r="H28" s="29">
        <v>2</v>
      </c>
    </row>
    <row r="29" spans="6:8" x14ac:dyDescent="0.25">
      <c r="F29" s="29" t="s">
        <v>14</v>
      </c>
      <c r="G29" s="29" t="s">
        <v>30</v>
      </c>
      <c r="H29" s="29">
        <v>1</v>
      </c>
    </row>
    <row r="30" spans="6:8" x14ac:dyDescent="0.25">
      <c r="F30" s="29" t="s">
        <v>14</v>
      </c>
      <c r="G30" s="29" t="s">
        <v>31</v>
      </c>
      <c r="H30" s="29">
        <v>2</v>
      </c>
    </row>
    <row r="31" spans="6:8" x14ac:dyDescent="0.25">
      <c r="F31" s="29" t="s">
        <v>12</v>
      </c>
      <c r="G31" s="29" t="s">
        <v>32</v>
      </c>
      <c r="H31" s="29">
        <v>1</v>
      </c>
    </row>
    <row r="32" spans="6:8" x14ac:dyDescent="0.25">
      <c r="F32" s="29" t="s">
        <v>14</v>
      </c>
      <c r="G32" s="29" t="s">
        <v>33</v>
      </c>
      <c r="H32" s="29">
        <v>1</v>
      </c>
    </row>
    <row r="33" spans="6:8" x14ac:dyDescent="0.25">
      <c r="F33" s="29" t="s">
        <v>16</v>
      </c>
      <c r="G33" s="29" t="s">
        <v>86</v>
      </c>
      <c r="H33" s="29">
        <v>1</v>
      </c>
    </row>
    <row r="34" spans="6:8" x14ac:dyDescent="0.25">
      <c r="F34" s="29" t="s">
        <v>12</v>
      </c>
      <c r="G34" s="29" t="s">
        <v>85</v>
      </c>
      <c r="H34" s="29">
        <v>2</v>
      </c>
    </row>
    <row r="35" spans="6:8" x14ac:dyDescent="0.25">
      <c r="F35" s="29" t="s">
        <v>12</v>
      </c>
      <c r="G35" s="29" t="s">
        <v>84</v>
      </c>
      <c r="H35" s="29">
        <v>1</v>
      </c>
    </row>
    <row r="36" spans="6:8" x14ac:dyDescent="0.25">
      <c r="F36" s="29" t="s">
        <v>14</v>
      </c>
      <c r="G36" s="29" t="s">
        <v>83</v>
      </c>
      <c r="H36" s="29">
        <v>1</v>
      </c>
    </row>
    <row r="37" spans="6:8" x14ac:dyDescent="0.25">
      <c r="F37" s="29" t="s">
        <v>14</v>
      </c>
      <c r="G37" s="29" t="s">
        <v>34</v>
      </c>
      <c r="H37" s="29">
        <v>1</v>
      </c>
    </row>
    <row r="38" spans="6:8" x14ac:dyDescent="0.25">
      <c r="F38" s="29" t="s">
        <v>12</v>
      </c>
      <c r="G38" s="29" t="s">
        <v>35</v>
      </c>
      <c r="H38" s="29">
        <v>2</v>
      </c>
    </row>
    <row r="39" spans="6:8" x14ac:dyDescent="0.25">
      <c r="F39" s="29" t="s">
        <v>14</v>
      </c>
      <c r="G39" s="29" t="s">
        <v>36</v>
      </c>
      <c r="H39" s="29">
        <v>2</v>
      </c>
    </row>
    <row r="40" spans="6:8" x14ac:dyDescent="0.25">
      <c r="F40" s="29" t="s">
        <v>16</v>
      </c>
      <c r="G40" s="29" t="s">
        <v>37</v>
      </c>
      <c r="H40" s="29">
        <v>2</v>
      </c>
    </row>
    <row r="41" spans="6:8" ht="15.75" thickBot="1" x14ac:dyDescent="0.3">
      <c r="F41" s="30" t="s">
        <v>12</v>
      </c>
      <c r="G41" s="30" t="s">
        <v>38</v>
      </c>
      <c r="H41" s="30">
        <v>2</v>
      </c>
    </row>
    <row r="42" spans="6:8" ht="15.75" thickTop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7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2289" r:id="rId3" name="CommandButton7"/>
      </mc:Fallback>
    </mc:AlternateContent>
    <mc:AlternateContent xmlns:mc="http://schemas.openxmlformats.org/markup-compatibility/2006">
      <mc:Choice Requires="x14">
        <control shapeId="12290" r:id="rId5" name="CommandButton8">
          <controlPr defaultSize="0" autoLine="0" r:id="rId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2290" r:id="rId5" name="CommandButton8"/>
      </mc:Fallback>
    </mc:AlternateContent>
    <mc:AlternateContent xmlns:mc="http://schemas.openxmlformats.org/markup-compatibility/2006">
      <mc:Choice Requires="x14">
        <control shapeId="12291" r:id="rId7" name="CommandButton9">
          <controlPr defaultSize="0" autoLine="0" r:id="rId8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2291" r:id="rId7" name="CommandButton9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6">
          <controlPr defaultSize="0" autoLine="0" r:id="rId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5362" r:id="rId3" name="CommandButton6"/>
      </mc:Fallback>
    </mc:AlternateContent>
    <mc:AlternateContent xmlns:mc="http://schemas.openxmlformats.org/markup-compatibility/2006">
      <mc:Choice Requires="x14">
        <control shapeId="15361" r:id="rId5" name="CommandButton5">
          <controlPr defaultSize="0" autoLine="0" r:id="rId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5361" r:id="rId5" name="CommandButton5"/>
      </mc:Fallback>
    </mc:AlternateContent>
    <mc:AlternateContent xmlns:mc="http://schemas.openxmlformats.org/markup-compatibility/2006">
      <mc:Choice Requires="x14">
        <control shapeId="15363" r:id="rId7" name="CommandButton10">
          <controlPr defaultSize="0" autoLine="0" r:id="rId8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5363" r:id="rId7" name="CommandButton1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E8" sqref="E8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1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4577" r:id="rId3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F1:H7"/>
  <sheetViews>
    <sheetView workbookViewId="0">
      <selection activeCell="F3" sqref="F3:H6"/>
    </sheetView>
  </sheetViews>
  <sheetFormatPr defaultRowHeight="15" x14ac:dyDescent="0.25"/>
  <sheetData>
    <row r="1" spans="6:8" ht="15.75" thickBot="1" x14ac:dyDescent="0.3"/>
    <row r="2" spans="6:8" ht="16.5" thickTop="1" thickBot="1" x14ac:dyDescent="0.3">
      <c r="F2" s="43" t="s">
        <v>119</v>
      </c>
      <c r="G2" s="44"/>
      <c r="H2" s="45"/>
    </row>
    <row r="3" spans="6:8" ht="15.75" thickTop="1" x14ac:dyDescent="0.25">
      <c r="F3" s="37">
        <v>1</v>
      </c>
      <c r="G3" s="38">
        <v>2</v>
      </c>
      <c r="H3" s="39">
        <v>3</v>
      </c>
    </row>
    <row r="4" spans="6:8" x14ac:dyDescent="0.25">
      <c r="F4" s="40">
        <v>4</v>
      </c>
      <c r="G4" s="41">
        <v>5</v>
      </c>
      <c r="H4" s="42">
        <v>6</v>
      </c>
    </row>
    <row r="5" spans="6:8" x14ac:dyDescent="0.25">
      <c r="F5" s="40">
        <v>7</v>
      </c>
      <c r="G5" s="41">
        <v>8</v>
      </c>
      <c r="H5" s="42">
        <v>9</v>
      </c>
    </row>
    <row r="6" spans="6:8" ht="15.75" thickBot="1" x14ac:dyDescent="0.3">
      <c r="F6" s="46">
        <v>10</v>
      </c>
      <c r="G6" s="47">
        <v>11</v>
      </c>
      <c r="H6" s="48">
        <v>12</v>
      </c>
    </row>
    <row r="7" spans="6:8" ht="15.75" thickTop="1" x14ac:dyDescent="0.25"/>
  </sheetData>
  <mergeCells count="1">
    <mergeCell ref="F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6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5601" r:id="rId3" name="CommandButton16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F1:H201"/>
  <sheetViews>
    <sheetView workbookViewId="0">
      <selection activeCell="D24" sqref="D24"/>
    </sheetView>
  </sheetViews>
  <sheetFormatPr defaultRowHeight="15" x14ac:dyDescent="0.25"/>
  <cols>
    <col min="6" max="6" width="20.7109375" style="7" customWidth="1"/>
    <col min="8" max="8" width="20.7109375" style="7" customWidth="1"/>
  </cols>
  <sheetData>
    <row r="1" spans="6:8" ht="15.75" thickBot="1" x14ac:dyDescent="0.3"/>
    <row r="2" spans="6:8" ht="16.5" thickTop="1" thickBot="1" x14ac:dyDescent="0.3">
      <c r="F2" s="21" t="s">
        <v>92</v>
      </c>
      <c r="H2" s="21" t="s">
        <v>93</v>
      </c>
    </row>
    <row r="3" spans="6:8" ht="15.75" thickTop="1" x14ac:dyDescent="0.25">
      <c r="F3" s="32">
        <v>1</v>
      </c>
      <c r="H3" s="31"/>
    </row>
    <row r="4" spans="6:8" x14ac:dyDescent="0.25">
      <c r="F4" s="34">
        <v>2</v>
      </c>
      <c r="H4" s="34"/>
    </row>
    <row r="5" spans="6:8" x14ac:dyDescent="0.25">
      <c r="F5" s="32">
        <v>3</v>
      </c>
      <c r="H5" s="32"/>
    </row>
    <row r="6" spans="6:8" x14ac:dyDescent="0.25">
      <c r="F6" s="34">
        <v>7</v>
      </c>
      <c r="H6" s="34"/>
    </row>
    <row r="7" spans="6:8" x14ac:dyDescent="0.25">
      <c r="F7" s="32">
        <v>5</v>
      </c>
      <c r="H7" s="32"/>
    </row>
    <row r="8" spans="6:8" x14ac:dyDescent="0.25">
      <c r="F8" s="34">
        <v>1</v>
      </c>
      <c r="H8" s="34"/>
    </row>
    <row r="9" spans="6:8" x14ac:dyDescent="0.25">
      <c r="F9" s="32">
        <v>7</v>
      </c>
      <c r="H9" s="32"/>
    </row>
    <row r="10" spans="6:8" x14ac:dyDescent="0.25">
      <c r="F10" s="34">
        <v>8</v>
      </c>
      <c r="H10" s="34"/>
    </row>
    <row r="11" spans="6:8" x14ac:dyDescent="0.25">
      <c r="F11" s="32">
        <v>3</v>
      </c>
      <c r="H11" s="32"/>
    </row>
    <row r="12" spans="6:8" x14ac:dyDescent="0.25">
      <c r="F12" s="34">
        <v>6</v>
      </c>
      <c r="H12" s="34"/>
    </row>
    <row r="13" spans="6:8" x14ac:dyDescent="0.25">
      <c r="F13" s="32">
        <v>6</v>
      </c>
      <c r="H13" s="32"/>
    </row>
    <row r="14" spans="6:8" x14ac:dyDescent="0.25">
      <c r="F14" s="34">
        <v>3</v>
      </c>
      <c r="H14" s="34"/>
    </row>
    <row r="15" spans="6:8" x14ac:dyDescent="0.25">
      <c r="F15" s="32">
        <v>21</v>
      </c>
      <c r="H15" s="32"/>
    </row>
    <row r="16" spans="6:8" x14ac:dyDescent="0.25">
      <c r="F16" s="34">
        <v>6</v>
      </c>
      <c r="H16" s="34"/>
    </row>
    <row r="17" spans="6:8" x14ac:dyDescent="0.25">
      <c r="F17" s="32">
        <v>5</v>
      </c>
      <c r="H17" s="32"/>
    </row>
    <row r="18" spans="6:8" ht="15.75" thickBot="1" x14ac:dyDescent="0.3">
      <c r="F18" s="34">
        <v>45</v>
      </c>
      <c r="H18" s="35"/>
    </row>
    <row r="19" spans="6:8" ht="15.75" thickTop="1" x14ac:dyDescent="0.25">
      <c r="F19" s="32">
        <v>6</v>
      </c>
    </row>
    <row r="20" spans="6:8" x14ac:dyDescent="0.25">
      <c r="F20" s="34">
        <v>45</v>
      </c>
    </row>
    <row r="21" spans="6:8" x14ac:dyDescent="0.25">
      <c r="F21" s="32">
        <v>5</v>
      </c>
    </row>
    <row r="22" spans="6:8" x14ac:dyDescent="0.25">
      <c r="F22" s="34">
        <v>47</v>
      </c>
    </row>
    <row r="23" spans="6:8" x14ac:dyDescent="0.25">
      <c r="F23" s="32">
        <v>5</v>
      </c>
    </row>
    <row r="24" spans="6:8" x14ac:dyDescent="0.25">
      <c r="F24" s="34">
        <v>6</v>
      </c>
    </row>
    <row r="25" spans="6:8" x14ac:dyDescent="0.25">
      <c r="F25" s="32">
        <v>7</v>
      </c>
    </row>
    <row r="26" spans="6:8" x14ac:dyDescent="0.25">
      <c r="F26" s="34">
        <v>1</v>
      </c>
    </row>
    <row r="27" spans="6:8" x14ac:dyDescent="0.25">
      <c r="F27" s="32">
        <v>2</v>
      </c>
    </row>
    <row r="28" spans="6:8" x14ac:dyDescent="0.25">
      <c r="F28" s="34">
        <v>3</v>
      </c>
    </row>
    <row r="29" spans="6:8" x14ac:dyDescent="0.25">
      <c r="F29" s="32">
        <v>4</v>
      </c>
    </row>
    <row r="30" spans="6:8" x14ac:dyDescent="0.25">
      <c r="F30" s="34">
        <v>7</v>
      </c>
    </row>
    <row r="31" spans="6:8" x14ac:dyDescent="0.25">
      <c r="F31" s="32">
        <v>8</v>
      </c>
    </row>
    <row r="32" spans="6:8" x14ac:dyDescent="0.25">
      <c r="F32" s="34">
        <v>23</v>
      </c>
    </row>
    <row r="33" spans="6:6" x14ac:dyDescent="0.25">
      <c r="F33" s="32">
        <v>34</v>
      </c>
    </row>
    <row r="34" spans="6:6" x14ac:dyDescent="0.25">
      <c r="F34" s="34">
        <v>56</v>
      </c>
    </row>
    <row r="35" spans="6:6" x14ac:dyDescent="0.25">
      <c r="F35" s="32">
        <v>7</v>
      </c>
    </row>
    <row r="36" spans="6:6" x14ac:dyDescent="0.25">
      <c r="F36" s="34">
        <v>8</v>
      </c>
    </row>
    <row r="37" spans="6:6" x14ac:dyDescent="0.25">
      <c r="F37" s="32">
        <v>3</v>
      </c>
    </row>
    <row r="38" spans="6:6" x14ac:dyDescent="0.25">
      <c r="F38" s="34">
        <v>4</v>
      </c>
    </row>
    <row r="39" spans="6:6" x14ac:dyDescent="0.25">
      <c r="F39" s="32">
        <v>56</v>
      </c>
    </row>
    <row r="40" spans="6:6" x14ac:dyDescent="0.25">
      <c r="F40" s="34">
        <v>83</v>
      </c>
    </row>
    <row r="41" spans="6:6" x14ac:dyDescent="0.25">
      <c r="F41" s="32">
        <v>34</v>
      </c>
    </row>
    <row r="42" spans="6:6" x14ac:dyDescent="0.25">
      <c r="F42" s="34">
        <v>23</v>
      </c>
    </row>
    <row r="43" spans="6:6" x14ac:dyDescent="0.25">
      <c r="F43" s="32">
        <v>23</v>
      </c>
    </row>
    <row r="44" spans="6:6" x14ac:dyDescent="0.25">
      <c r="F44" s="34">
        <v>7</v>
      </c>
    </row>
    <row r="45" spans="6:6" x14ac:dyDescent="0.25">
      <c r="F45" s="32">
        <v>3</v>
      </c>
    </row>
    <row r="46" spans="6:6" x14ac:dyDescent="0.25">
      <c r="F46" s="34">
        <v>8</v>
      </c>
    </row>
    <row r="47" spans="6:6" x14ac:dyDescent="0.25">
      <c r="F47" s="32">
        <v>5</v>
      </c>
    </row>
    <row r="48" spans="6:6" x14ac:dyDescent="0.25">
      <c r="F48" s="34">
        <v>21</v>
      </c>
    </row>
    <row r="49" spans="6:6" x14ac:dyDescent="0.25">
      <c r="F49" s="33">
        <v>6</v>
      </c>
    </row>
    <row r="50" spans="6:6" x14ac:dyDescent="0.25">
      <c r="F50" s="34">
        <v>5</v>
      </c>
    </row>
    <row r="51" spans="6:6" x14ac:dyDescent="0.25">
      <c r="F51" s="32">
        <v>45</v>
      </c>
    </row>
    <row r="52" spans="6:6" x14ac:dyDescent="0.25">
      <c r="F52" s="34">
        <v>6</v>
      </c>
    </row>
    <row r="53" spans="6:6" x14ac:dyDescent="0.25">
      <c r="F53" s="32">
        <v>45</v>
      </c>
    </row>
    <row r="54" spans="6:6" x14ac:dyDescent="0.25">
      <c r="F54" s="34">
        <v>5</v>
      </c>
    </row>
    <row r="55" spans="6:6" x14ac:dyDescent="0.25">
      <c r="F55" s="32">
        <v>47</v>
      </c>
    </row>
    <row r="56" spans="6:6" x14ac:dyDescent="0.25">
      <c r="F56" s="34">
        <v>5</v>
      </c>
    </row>
    <row r="57" spans="6:6" x14ac:dyDescent="0.25">
      <c r="F57" s="32">
        <v>6</v>
      </c>
    </row>
    <row r="58" spans="6:6" x14ac:dyDescent="0.25">
      <c r="F58" s="34">
        <v>7</v>
      </c>
    </row>
    <row r="59" spans="6:6" x14ac:dyDescent="0.25">
      <c r="F59" s="32">
        <v>1</v>
      </c>
    </row>
    <row r="60" spans="6:6" x14ac:dyDescent="0.25">
      <c r="F60" s="34">
        <v>2</v>
      </c>
    </row>
    <row r="61" spans="6:6" x14ac:dyDescent="0.25">
      <c r="F61" s="32">
        <v>3</v>
      </c>
    </row>
    <row r="62" spans="6:6" x14ac:dyDescent="0.25">
      <c r="F62" s="34">
        <v>5</v>
      </c>
    </row>
    <row r="63" spans="6:6" x14ac:dyDescent="0.25">
      <c r="F63" s="32">
        <v>6</v>
      </c>
    </row>
    <row r="64" spans="6:6" x14ac:dyDescent="0.25">
      <c r="F64" s="34">
        <v>7</v>
      </c>
    </row>
    <row r="65" spans="6:6" x14ac:dyDescent="0.25">
      <c r="F65" s="32">
        <v>8</v>
      </c>
    </row>
    <row r="66" spans="6:6" x14ac:dyDescent="0.25">
      <c r="F66" s="34">
        <v>21</v>
      </c>
    </row>
    <row r="67" spans="6:6" x14ac:dyDescent="0.25">
      <c r="F67" s="32">
        <v>45</v>
      </c>
    </row>
    <row r="68" spans="6:6" x14ac:dyDescent="0.25">
      <c r="F68" s="34">
        <v>47</v>
      </c>
    </row>
    <row r="69" spans="6:6" x14ac:dyDescent="0.25">
      <c r="F69" s="32">
        <v>1</v>
      </c>
    </row>
    <row r="70" spans="6:6" x14ac:dyDescent="0.25">
      <c r="F70" s="34">
        <v>2</v>
      </c>
    </row>
    <row r="71" spans="6:6" x14ac:dyDescent="0.25">
      <c r="F71" s="32">
        <v>3</v>
      </c>
    </row>
    <row r="72" spans="6:6" x14ac:dyDescent="0.25">
      <c r="F72" s="34">
        <v>3</v>
      </c>
    </row>
    <row r="73" spans="6:6" x14ac:dyDescent="0.25">
      <c r="F73" s="32">
        <v>6</v>
      </c>
    </row>
    <row r="74" spans="6:6" x14ac:dyDescent="0.25">
      <c r="F74" s="34">
        <v>6</v>
      </c>
    </row>
    <row r="75" spans="6:6" x14ac:dyDescent="0.25">
      <c r="F75" s="32">
        <v>1</v>
      </c>
    </row>
    <row r="76" spans="6:6" x14ac:dyDescent="0.25">
      <c r="F76" s="34">
        <v>7</v>
      </c>
    </row>
    <row r="77" spans="6:6" x14ac:dyDescent="0.25">
      <c r="F77" s="32">
        <v>7</v>
      </c>
    </row>
    <row r="78" spans="6:6" x14ac:dyDescent="0.25">
      <c r="F78" s="34">
        <v>3</v>
      </c>
    </row>
    <row r="79" spans="6:6" x14ac:dyDescent="0.25">
      <c r="F79" s="32">
        <v>8</v>
      </c>
    </row>
    <row r="80" spans="6:6" x14ac:dyDescent="0.25">
      <c r="F80" s="34">
        <v>5</v>
      </c>
    </row>
    <row r="81" spans="6:6" x14ac:dyDescent="0.25">
      <c r="F81" s="32">
        <v>21</v>
      </c>
    </row>
    <row r="82" spans="6:6" x14ac:dyDescent="0.25">
      <c r="F82" s="34">
        <v>6</v>
      </c>
    </row>
    <row r="83" spans="6:6" x14ac:dyDescent="0.25">
      <c r="F83" s="32">
        <v>5</v>
      </c>
    </row>
    <row r="84" spans="6:6" x14ac:dyDescent="0.25">
      <c r="F84" s="34">
        <v>45</v>
      </c>
    </row>
    <row r="85" spans="6:6" x14ac:dyDescent="0.25">
      <c r="F85" s="32">
        <v>6</v>
      </c>
    </row>
    <row r="86" spans="6:6" x14ac:dyDescent="0.25">
      <c r="F86" s="34">
        <v>45</v>
      </c>
    </row>
    <row r="87" spans="6:6" x14ac:dyDescent="0.25">
      <c r="F87" s="32">
        <v>5</v>
      </c>
    </row>
    <row r="88" spans="6:6" x14ac:dyDescent="0.25">
      <c r="F88" s="34">
        <v>47</v>
      </c>
    </row>
    <row r="89" spans="6:6" x14ac:dyDescent="0.25">
      <c r="F89" s="32">
        <v>5</v>
      </c>
    </row>
    <row r="90" spans="6:6" x14ac:dyDescent="0.25">
      <c r="F90" s="34">
        <v>6</v>
      </c>
    </row>
    <row r="91" spans="6:6" x14ac:dyDescent="0.25">
      <c r="F91" s="32">
        <v>7</v>
      </c>
    </row>
    <row r="92" spans="6:6" x14ac:dyDescent="0.25">
      <c r="F92" s="34">
        <v>1</v>
      </c>
    </row>
    <row r="93" spans="6:6" x14ac:dyDescent="0.25">
      <c r="F93" s="32">
        <v>2</v>
      </c>
    </row>
    <row r="94" spans="6:6" x14ac:dyDescent="0.25">
      <c r="F94" s="34">
        <v>3</v>
      </c>
    </row>
    <row r="95" spans="6:6" x14ac:dyDescent="0.25">
      <c r="F95" s="32">
        <v>5</v>
      </c>
    </row>
    <row r="96" spans="6:6" x14ac:dyDescent="0.25">
      <c r="F96" s="34">
        <v>6</v>
      </c>
    </row>
    <row r="97" spans="6:6" x14ac:dyDescent="0.25">
      <c r="F97" s="32">
        <v>7</v>
      </c>
    </row>
    <row r="98" spans="6:6" x14ac:dyDescent="0.25">
      <c r="F98" s="34">
        <v>8</v>
      </c>
    </row>
    <row r="99" spans="6:6" x14ac:dyDescent="0.25">
      <c r="F99" s="32">
        <v>21</v>
      </c>
    </row>
    <row r="100" spans="6:6" x14ac:dyDescent="0.25">
      <c r="F100" s="34">
        <v>45</v>
      </c>
    </row>
    <row r="101" spans="6:6" x14ac:dyDescent="0.25">
      <c r="F101" s="32">
        <v>47</v>
      </c>
    </row>
    <row r="102" spans="6:6" x14ac:dyDescent="0.25">
      <c r="F102" s="34">
        <v>1</v>
      </c>
    </row>
    <row r="103" spans="6:6" x14ac:dyDescent="0.25">
      <c r="F103" s="32">
        <v>2</v>
      </c>
    </row>
    <row r="104" spans="6:6" x14ac:dyDescent="0.25">
      <c r="F104" s="34">
        <v>3</v>
      </c>
    </row>
    <row r="105" spans="6:6" x14ac:dyDescent="0.25">
      <c r="F105" s="32">
        <v>3</v>
      </c>
    </row>
    <row r="106" spans="6:6" x14ac:dyDescent="0.25">
      <c r="F106" s="34">
        <v>6</v>
      </c>
    </row>
    <row r="107" spans="6:6" x14ac:dyDescent="0.25">
      <c r="F107" s="32">
        <v>6</v>
      </c>
    </row>
    <row r="108" spans="6:6" x14ac:dyDescent="0.25">
      <c r="F108" s="34">
        <v>1</v>
      </c>
    </row>
    <row r="109" spans="6:6" x14ac:dyDescent="0.25">
      <c r="F109" s="32">
        <v>7</v>
      </c>
    </row>
    <row r="110" spans="6:6" x14ac:dyDescent="0.25">
      <c r="F110" s="34">
        <v>7</v>
      </c>
    </row>
    <row r="111" spans="6:6" x14ac:dyDescent="0.25">
      <c r="F111" s="32">
        <v>3</v>
      </c>
    </row>
    <row r="112" spans="6:6" x14ac:dyDescent="0.25">
      <c r="F112" s="34">
        <v>8</v>
      </c>
    </row>
    <row r="113" spans="6:6" x14ac:dyDescent="0.25">
      <c r="F113" s="32">
        <v>5</v>
      </c>
    </row>
    <row r="114" spans="6:6" x14ac:dyDescent="0.25">
      <c r="F114" s="34">
        <v>21</v>
      </c>
    </row>
    <row r="115" spans="6:6" x14ac:dyDescent="0.25">
      <c r="F115" s="32">
        <v>6</v>
      </c>
    </row>
    <row r="116" spans="6:6" x14ac:dyDescent="0.25">
      <c r="F116" s="34">
        <v>5</v>
      </c>
    </row>
    <row r="117" spans="6:6" x14ac:dyDescent="0.25">
      <c r="F117" s="32">
        <v>45</v>
      </c>
    </row>
    <row r="118" spans="6:6" x14ac:dyDescent="0.25">
      <c r="F118" s="34">
        <v>6</v>
      </c>
    </row>
    <row r="119" spans="6:6" x14ac:dyDescent="0.25">
      <c r="F119" s="32">
        <v>45</v>
      </c>
    </row>
    <row r="120" spans="6:6" x14ac:dyDescent="0.25">
      <c r="F120" s="34">
        <v>5</v>
      </c>
    </row>
    <row r="121" spans="6:6" x14ac:dyDescent="0.25">
      <c r="F121" s="32">
        <v>47</v>
      </c>
    </row>
    <row r="122" spans="6:6" x14ac:dyDescent="0.25">
      <c r="F122" s="34">
        <v>5</v>
      </c>
    </row>
    <row r="123" spans="6:6" x14ac:dyDescent="0.25">
      <c r="F123" s="32">
        <v>6</v>
      </c>
    </row>
    <row r="124" spans="6:6" x14ac:dyDescent="0.25">
      <c r="F124" s="34">
        <v>7</v>
      </c>
    </row>
    <row r="125" spans="6:6" x14ac:dyDescent="0.25">
      <c r="F125" s="32">
        <v>1</v>
      </c>
    </row>
    <row r="126" spans="6:6" x14ac:dyDescent="0.25">
      <c r="F126" s="34">
        <v>2</v>
      </c>
    </row>
    <row r="127" spans="6:6" x14ac:dyDescent="0.25">
      <c r="F127" s="32">
        <v>3</v>
      </c>
    </row>
    <row r="128" spans="6:6" x14ac:dyDescent="0.25">
      <c r="F128" s="34">
        <v>5</v>
      </c>
    </row>
    <row r="129" spans="6:6" x14ac:dyDescent="0.25">
      <c r="F129" s="32">
        <v>6</v>
      </c>
    </row>
    <row r="130" spans="6:6" x14ac:dyDescent="0.25">
      <c r="F130" s="34">
        <v>7</v>
      </c>
    </row>
    <row r="131" spans="6:6" x14ac:dyDescent="0.25">
      <c r="F131" s="32">
        <v>8</v>
      </c>
    </row>
    <row r="132" spans="6:6" x14ac:dyDescent="0.25">
      <c r="F132" s="34">
        <v>21</v>
      </c>
    </row>
    <row r="133" spans="6:6" x14ac:dyDescent="0.25">
      <c r="F133" s="32">
        <v>45</v>
      </c>
    </row>
    <row r="134" spans="6:6" x14ac:dyDescent="0.25">
      <c r="F134" s="34">
        <v>47</v>
      </c>
    </row>
    <row r="135" spans="6:6" x14ac:dyDescent="0.25">
      <c r="F135" s="32">
        <v>1</v>
      </c>
    </row>
    <row r="136" spans="6:6" x14ac:dyDescent="0.25">
      <c r="F136" s="34">
        <v>2</v>
      </c>
    </row>
    <row r="137" spans="6:6" x14ac:dyDescent="0.25">
      <c r="F137" s="32">
        <v>3</v>
      </c>
    </row>
    <row r="138" spans="6:6" x14ac:dyDescent="0.25">
      <c r="F138" s="34">
        <v>3</v>
      </c>
    </row>
    <row r="139" spans="6:6" x14ac:dyDescent="0.25">
      <c r="F139" s="32">
        <v>6</v>
      </c>
    </row>
    <row r="140" spans="6:6" x14ac:dyDescent="0.25">
      <c r="F140" s="34">
        <v>6</v>
      </c>
    </row>
    <row r="141" spans="6:6" x14ac:dyDescent="0.25">
      <c r="F141" s="32">
        <v>1</v>
      </c>
    </row>
    <row r="142" spans="6:6" x14ac:dyDescent="0.25">
      <c r="F142" s="34">
        <v>7</v>
      </c>
    </row>
    <row r="143" spans="6:6" x14ac:dyDescent="0.25">
      <c r="F143" s="32">
        <v>7</v>
      </c>
    </row>
    <row r="144" spans="6:6" x14ac:dyDescent="0.25">
      <c r="F144" s="34">
        <v>3</v>
      </c>
    </row>
    <row r="145" spans="6:6" x14ac:dyDescent="0.25">
      <c r="F145" s="32">
        <v>8</v>
      </c>
    </row>
    <row r="146" spans="6:6" x14ac:dyDescent="0.25">
      <c r="F146" s="34">
        <v>5</v>
      </c>
    </row>
    <row r="147" spans="6:6" x14ac:dyDescent="0.25">
      <c r="F147" s="32">
        <v>21</v>
      </c>
    </row>
    <row r="148" spans="6:6" x14ac:dyDescent="0.25">
      <c r="F148" s="34">
        <v>6</v>
      </c>
    </row>
    <row r="149" spans="6:6" x14ac:dyDescent="0.25">
      <c r="F149" s="32">
        <v>5</v>
      </c>
    </row>
    <row r="150" spans="6:6" x14ac:dyDescent="0.25">
      <c r="F150" s="34">
        <v>45</v>
      </c>
    </row>
    <row r="151" spans="6:6" x14ac:dyDescent="0.25">
      <c r="F151" s="32">
        <v>6</v>
      </c>
    </row>
    <row r="152" spans="6:6" x14ac:dyDescent="0.25">
      <c r="F152" s="34">
        <v>45</v>
      </c>
    </row>
    <row r="153" spans="6:6" x14ac:dyDescent="0.25">
      <c r="F153" s="32">
        <v>5</v>
      </c>
    </row>
    <row r="154" spans="6:6" x14ac:dyDescent="0.25">
      <c r="F154" s="34">
        <v>47</v>
      </c>
    </row>
    <row r="155" spans="6:6" x14ac:dyDescent="0.25">
      <c r="F155" s="32">
        <v>5</v>
      </c>
    </row>
    <row r="156" spans="6:6" x14ac:dyDescent="0.25">
      <c r="F156" s="34">
        <v>6</v>
      </c>
    </row>
    <row r="157" spans="6:6" x14ac:dyDescent="0.25">
      <c r="F157" s="32">
        <v>7</v>
      </c>
    </row>
    <row r="158" spans="6:6" x14ac:dyDescent="0.25">
      <c r="F158" s="34">
        <v>1</v>
      </c>
    </row>
    <row r="159" spans="6:6" x14ac:dyDescent="0.25">
      <c r="F159" s="32">
        <v>2</v>
      </c>
    </row>
    <row r="160" spans="6:6" x14ac:dyDescent="0.25">
      <c r="F160" s="34">
        <v>3</v>
      </c>
    </row>
    <row r="161" spans="6:6" x14ac:dyDescent="0.25">
      <c r="F161" s="32">
        <v>5</v>
      </c>
    </row>
    <row r="162" spans="6:6" x14ac:dyDescent="0.25">
      <c r="F162" s="34">
        <v>6</v>
      </c>
    </row>
    <row r="163" spans="6:6" x14ac:dyDescent="0.25">
      <c r="F163" s="32">
        <v>7</v>
      </c>
    </row>
    <row r="164" spans="6:6" x14ac:dyDescent="0.25">
      <c r="F164" s="34">
        <v>8</v>
      </c>
    </row>
    <row r="165" spans="6:6" x14ac:dyDescent="0.25">
      <c r="F165" s="32">
        <v>21</v>
      </c>
    </row>
    <row r="166" spans="6:6" x14ac:dyDescent="0.25">
      <c r="F166" s="34">
        <v>45</v>
      </c>
    </row>
    <row r="167" spans="6:6" x14ac:dyDescent="0.25">
      <c r="F167" s="32">
        <v>47</v>
      </c>
    </row>
    <row r="168" spans="6:6" x14ac:dyDescent="0.25">
      <c r="F168" s="34">
        <v>1</v>
      </c>
    </row>
    <row r="169" spans="6:6" x14ac:dyDescent="0.25">
      <c r="F169" s="32">
        <v>2</v>
      </c>
    </row>
    <row r="170" spans="6:6" x14ac:dyDescent="0.25">
      <c r="F170" s="34">
        <v>3</v>
      </c>
    </row>
    <row r="171" spans="6:6" x14ac:dyDescent="0.25">
      <c r="F171" s="32">
        <v>3</v>
      </c>
    </row>
    <row r="172" spans="6:6" x14ac:dyDescent="0.25">
      <c r="F172" s="34">
        <v>6</v>
      </c>
    </row>
    <row r="173" spans="6:6" x14ac:dyDescent="0.25">
      <c r="F173" s="32">
        <v>6</v>
      </c>
    </row>
    <row r="174" spans="6:6" x14ac:dyDescent="0.25">
      <c r="F174" s="34">
        <v>1</v>
      </c>
    </row>
    <row r="175" spans="6:6" x14ac:dyDescent="0.25">
      <c r="F175" s="32">
        <v>7</v>
      </c>
    </row>
    <row r="176" spans="6:6" x14ac:dyDescent="0.25">
      <c r="F176" s="34">
        <v>7</v>
      </c>
    </row>
    <row r="177" spans="6:6" x14ac:dyDescent="0.25">
      <c r="F177" s="32">
        <v>3</v>
      </c>
    </row>
    <row r="178" spans="6:6" x14ac:dyDescent="0.25">
      <c r="F178" s="34">
        <v>8</v>
      </c>
    </row>
    <row r="179" spans="6:6" x14ac:dyDescent="0.25">
      <c r="F179" s="32">
        <v>5</v>
      </c>
    </row>
    <row r="180" spans="6:6" x14ac:dyDescent="0.25">
      <c r="F180" s="34">
        <v>21</v>
      </c>
    </row>
    <row r="181" spans="6:6" x14ac:dyDescent="0.25">
      <c r="F181" s="32">
        <v>6</v>
      </c>
    </row>
    <row r="182" spans="6:6" x14ac:dyDescent="0.25">
      <c r="F182" s="34">
        <v>5</v>
      </c>
    </row>
    <row r="183" spans="6:6" x14ac:dyDescent="0.25">
      <c r="F183" s="32">
        <v>45</v>
      </c>
    </row>
    <row r="184" spans="6:6" x14ac:dyDescent="0.25">
      <c r="F184" s="34">
        <v>6</v>
      </c>
    </row>
    <row r="185" spans="6:6" x14ac:dyDescent="0.25">
      <c r="F185" s="32">
        <v>45</v>
      </c>
    </row>
    <row r="186" spans="6:6" x14ac:dyDescent="0.25">
      <c r="F186" s="34">
        <v>5</v>
      </c>
    </row>
    <row r="187" spans="6:6" x14ac:dyDescent="0.25">
      <c r="F187" s="32">
        <v>47</v>
      </c>
    </row>
    <row r="188" spans="6:6" x14ac:dyDescent="0.25">
      <c r="F188" s="34">
        <v>5</v>
      </c>
    </row>
    <row r="189" spans="6:6" x14ac:dyDescent="0.25">
      <c r="F189" s="32">
        <v>6</v>
      </c>
    </row>
    <row r="190" spans="6:6" x14ac:dyDescent="0.25">
      <c r="F190" s="34">
        <v>7</v>
      </c>
    </row>
    <row r="191" spans="6:6" x14ac:dyDescent="0.25">
      <c r="F191" s="32">
        <v>1</v>
      </c>
    </row>
    <row r="192" spans="6:6" x14ac:dyDescent="0.25">
      <c r="F192" s="34">
        <v>2</v>
      </c>
    </row>
    <row r="193" spans="6:6" x14ac:dyDescent="0.25">
      <c r="F193" s="32">
        <v>3</v>
      </c>
    </row>
    <row r="194" spans="6:6" x14ac:dyDescent="0.25">
      <c r="F194" s="34">
        <v>5</v>
      </c>
    </row>
    <row r="195" spans="6:6" x14ac:dyDescent="0.25">
      <c r="F195" s="32">
        <v>6</v>
      </c>
    </row>
    <row r="196" spans="6:6" x14ac:dyDescent="0.25">
      <c r="F196" s="34">
        <v>7</v>
      </c>
    </row>
    <row r="197" spans="6:6" x14ac:dyDescent="0.25">
      <c r="F197" s="32">
        <v>8</v>
      </c>
    </row>
    <row r="198" spans="6:6" x14ac:dyDescent="0.25">
      <c r="F198" s="34">
        <v>21</v>
      </c>
    </row>
    <row r="199" spans="6:6" x14ac:dyDescent="0.25">
      <c r="F199" s="32">
        <v>45</v>
      </c>
    </row>
    <row r="200" spans="6:6" ht="15.75" thickBot="1" x14ac:dyDescent="0.3">
      <c r="F200" s="35">
        <v>93</v>
      </c>
    </row>
    <row r="201" spans="6:6" ht="15.75" thickTop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mandButton12">
          <controlPr defaultSize="0" autoLine="0" r:id="rId4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8673" r:id="rId3" name="CommandButton12"/>
      </mc:Fallback>
    </mc:AlternateContent>
    <mc:AlternateContent xmlns:mc="http://schemas.openxmlformats.org/markup-compatibility/2006">
      <mc:Choice Requires="x14">
        <control shapeId="28674" r:id="rId5" name="CommandButton13">
          <controlPr defaultSize="0" autoLine="0" r:id="rId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17</xdr:row>
                <xdr:rowOff>190500</xdr:rowOff>
              </to>
            </anchor>
          </controlPr>
        </control>
      </mc:Choice>
      <mc:Fallback>
        <control shapeId="28674" r:id="rId5" name="CommandButton1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F7:I42"/>
  <sheetViews>
    <sheetView workbookViewId="0">
      <selection activeCell="F42" sqref="F42"/>
    </sheetView>
  </sheetViews>
  <sheetFormatPr defaultRowHeight="15" x14ac:dyDescent="0.25"/>
  <cols>
    <col min="6" max="9" width="27.7109375" customWidth="1"/>
    <col min="10" max="11" width="9.140625" customWidth="1"/>
  </cols>
  <sheetData>
    <row r="7" spans="6:9" ht="15.75" thickBot="1" x14ac:dyDescent="0.3"/>
    <row r="8" spans="6:9" ht="16.5" thickTop="1" thickBot="1" x14ac:dyDescent="0.3">
      <c r="F8" s="8" t="s">
        <v>94</v>
      </c>
      <c r="G8" s="8" t="s">
        <v>118</v>
      </c>
      <c r="H8" s="8" t="s">
        <v>95</v>
      </c>
      <c r="I8" s="8" t="s">
        <v>96</v>
      </c>
    </row>
    <row r="9" spans="6:9" ht="15.75" thickTop="1" x14ac:dyDescent="0.25">
      <c r="F9" s="1" t="s">
        <v>97</v>
      </c>
    </row>
    <row r="10" spans="6:9" x14ac:dyDescent="0.25">
      <c r="F10" s="1" t="s">
        <v>98</v>
      </c>
      <c r="G10" s="1"/>
      <c r="H10" s="1"/>
      <c r="I10" s="1"/>
    </row>
    <row r="11" spans="6:9" x14ac:dyDescent="0.25">
      <c r="F11" s="1" t="s">
        <v>99</v>
      </c>
      <c r="G11" s="1"/>
      <c r="H11" s="1"/>
      <c r="I11" s="1"/>
    </row>
    <row r="12" spans="6:9" x14ac:dyDescent="0.25">
      <c r="F12" s="1">
        <v>34546</v>
      </c>
      <c r="G12" s="1"/>
      <c r="H12" s="1"/>
      <c r="I12" s="1"/>
    </row>
    <row r="13" spans="6:9" x14ac:dyDescent="0.25">
      <c r="F13" s="1"/>
      <c r="G13" s="1"/>
      <c r="H13" s="1"/>
      <c r="I13" s="1"/>
    </row>
    <row r="14" spans="6:9" x14ac:dyDescent="0.25">
      <c r="F14" s="1" t="s">
        <v>100</v>
      </c>
    </row>
    <row r="15" spans="6:9" x14ac:dyDescent="0.25">
      <c r="F15" s="1" t="s">
        <v>101</v>
      </c>
      <c r="G15" s="1"/>
      <c r="H15" s="1"/>
      <c r="I15" s="1"/>
    </row>
    <row r="16" spans="6:9" x14ac:dyDescent="0.25">
      <c r="F16" s="1" t="s">
        <v>102</v>
      </c>
      <c r="G16" s="1"/>
      <c r="H16" s="1"/>
      <c r="I16" s="1"/>
    </row>
    <row r="17" spans="6:9" x14ac:dyDescent="0.25">
      <c r="F17" s="1">
        <v>23457</v>
      </c>
      <c r="G17" s="1"/>
      <c r="H17" s="1"/>
      <c r="I17" s="1"/>
    </row>
    <row r="18" spans="6:9" x14ac:dyDescent="0.25">
      <c r="F18" s="1"/>
      <c r="G18" s="1"/>
      <c r="H18" s="1"/>
      <c r="I18" s="1"/>
    </row>
    <row r="19" spans="6:9" x14ac:dyDescent="0.25">
      <c r="F19" s="1" t="s">
        <v>103</v>
      </c>
    </row>
    <row r="20" spans="6:9" x14ac:dyDescent="0.25">
      <c r="F20" s="1" t="s">
        <v>104</v>
      </c>
      <c r="G20" s="1"/>
      <c r="H20" s="1"/>
      <c r="I20" s="1"/>
    </row>
    <row r="21" spans="6:9" x14ac:dyDescent="0.25">
      <c r="F21" s="1" t="s">
        <v>105</v>
      </c>
      <c r="G21" s="1"/>
      <c r="H21" s="1"/>
      <c r="I21" s="1"/>
    </row>
    <row r="22" spans="6:9" x14ac:dyDescent="0.25">
      <c r="F22" s="1">
        <v>56789</v>
      </c>
      <c r="G22" s="1"/>
      <c r="H22" s="1"/>
      <c r="I22" s="1"/>
    </row>
    <row r="23" spans="6:9" x14ac:dyDescent="0.25">
      <c r="F23" s="1"/>
      <c r="G23" s="1"/>
      <c r="H23" s="1"/>
      <c r="I23" s="1"/>
    </row>
    <row r="24" spans="6:9" x14ac:dyDescent="0.25">
      <c r="F24" s="1" t="s">
        <v>106</v>
      </c>
    </row>
    <row r="25" spans="6:9" x14ac:dyDescent="0.25">
      <c r="F25" s="1" t="s">
        <v>107</v>
      </c>
      <c r="G25" s="1"/>
      <c r="H25" s="1"/>
      <c r="I25" s="1"/>
    </row>
    <row r="26" spans="6:9" x14ac:dyDescent="0.25">
      <c r="F26" s="1" t="s">
        <v>108</v>
      </c>
      <c r="G26" s="1"/>
      <c r="H26" s="1"/>
      <c r="I26" s="1"/>
    </row>
    <row r="27" spans="6:9" x14ac:dyDescent="0.25">
      <c r="F27" s="1">
        <v>12345</v>
      </c>
      <c r="G27" s="1"/>
      <c r="H27" s="1"/>
      <c r="I27" s="1"/>
    </row>
    <row r="28" spans="6:9" x14ac:dyDescent="0.25">
      <c r="F28" s="1"/>
      <c r="G28" s="1"/>
      <c r="H28" s="1"/>
      <c r="I28" s="1"/>
    </row>
    <row r="29" spans="6:9" x14ac:dyDescent="0.25">
      <c r="F29" s="1" t="s">
        <v>109</v>
      </c>
    </row>
    <row r="30" spans="6:9" x14ac:dyDescent="0.25">
      <c r="F30" s="1" t="s">
        <v>110</v>
      </c>
      <c r="G30" s="1"/>
      <c r="H30" s="1"/>
      <c r="I30" s="1"/>
    </row>
    <row r="31" spans="6:9" x14ac:dyDescent="0.25">
      <c r="F31" s="1" t="s">
        <v>111</v>
      </c>
      <c r="G31" s="1"/>
      <c r="H31" s="1"/>
      <c r="I31" s="1"/>
    </row>
    <row r="32" spans="6:9" x14ac:dyDescent="0.25">
      <c r="F32" s="1">
        <v>32890</v>
      </c>
      <c r="G32" s="1"/>
      <c r="H32" s="1"/>
      <c r="I32" s="1"/>
    </row>
    <row r="33" spans="6:9" x14ac:dyDescent="0.25">
      <c r="F33" s="1"/>
      <c r="G33" s="1"/>
      <c r="H33" s="1"/>
      <c r="I33" s="1"/>
    </row>
    <row r="34" spans="6:9" x14ac:dyDescent="0.25">
      <c r="F34" s="1" t="s">
        <v>112</v>
      </c>
    </row>
    <row r="35" spans="6:9" x14ac:dyDescent="0.25">
      <c r="F35" s="1" t="s">
        <v>113</v>
      </c>
      <c r="G35" s="1"/>
      <c r="H35" s="1"/>
      <c r="I35" s="1"/>
    </row>
    <row r="36" spans="6:9" x14ac:dyDescent="0.25">
      <c r="F36" s="1" t="s">
        <v>114</v>
      </c>
      <c r="G36" s="1"/>
      <c r="H36" s="1"/>
      <c r="I36" s="1"/>
    </row>
    <row r="37" spans="6:9" x14ac:dyDescent="0.25">
      <c r="F37" s="1">
        <v>12345</v>
      </c>
      <c r="G37" s="1"/>
      <c r="H37" s="1"/>
      <c r="I37" s="1"/>
    </row>
    <row r="38" spans="6:9" x14ac:dyDescent="0.25">
      <c r="F38" s="1"/>
      <c r="G38" s="1"/>
      <c r="H38" s="1"/>
      <c r="I38" s="1"/>
    </row>
    <row r="39" spans="6:9" x14ac:dyDescent="0.25">
      <c r="F39" s="1" t="s">
        <v>115</v>
      </c>
    </row>
    <row r="40" spans="6:9" x14ac:dyDescent="0.25">
      <c r="F40" s="1" t="s">
        <v>116</v>
      </c>
    </row>
    <row r="41" spans="6:9" x14ac:dyDescent="0.25">
      <c r="F41" s="1" t="s">
        <v>117</v>
      </c>
    </row>
    <row r="42" spans="6:9" x14ac:dyDescent="0.25">
      <c r="F42" s="1">
        <v>12345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8" r:id="rId3" name="CommandButton15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9698" r:id="rId3" name="CommandButton15"/>
      </mc:Fallback>
    </mc:AlternateContent>
    <mc:AlternateContent xmlns:mc="http://schemas.openxmlformats.org/markup-compatibility/2006">
      <mc:Choice Requires="x14">
        <control shapeId="29697" r:id="rId5" name="CommandButton14">
          <controlPr defaultSize="0" autoLine="0" r:id="rId6">
            <anchor moveWithCells="1">
              <from>
                <xdr:col>5</xdr:col>
                <xdr:colOff>0</xdr:colOff>
                <xdr:row>1</xdr:row>
                <xdr:rowOff>9525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9697" r:id="rId5" name="CommandButton14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F1:F18"/>
  <sheetViews>
    <sheetView workbookViewId="0">
      <selection activeCell="F20" sqref="F20"/>
    </sheetView>
  </sheetViews>
  <sheetFormatPr defaultRowHeight="15" x14ac:dyDescent="0.25"/>
  <sheetData>
    <row r="1" spans="6:6" ht="15.75" thickBot="1" x14ac:dyDescent="0.3"/>
    <row r="2" spans="6:6" ht="16.5" thickTop="1" thickBot="1" x14ac:dyDescent="0.3">
      <c r="F2" s="27" t="s">
        <v>123</v>
      </c>
    </row>
    <row r="3" spans="6:6" ht="15.75" thickTop="1" x14ac:dyDescent="0.25">
      <c r="F3" s="32"/>
    </row>
    <row r="4" spans="6:6" x14ac:dyDescent="0.25">
      <c r="F4" s="34"/>
    </row>
    <row r="5" spans="6:6" x14ac:dyDescent="0.25">
      <c r="F5" s="32"/>
    </row>
    <row r="6" spans="6:6" x14ac:dyDescent="0.25">
      <c r="F6" s="34"/>
    </row>
    <row r="7" spans="6:6" x14ac:dyDescent="0.25">
      <c r="F7" s="32"/>
    </row>
    <row r="8" spans="6:6" x14ac:dyDescent="0.25">
      <c r="F8" s="34"/>
    </row>
    <row r="9" spans="6:6" x14ac:dyDescent="0.25">
      <c r="F9" s="32"/>
    </row>
    <row r="10" spans="6:6" x14ac:dyDescent="0.25">
      <c r="F10" s="34"/>
    </row>
    <row r="11" spans="6:6" x14ac:dyDescent="0.25">
      <c r="F11" s="33"/>
    </row>
    <row r="12" spans="6:6" x14ac:dyDescent="0.25">
      <c r="F12" s="34"/>
    </row>
    <row r="13" spans="6:6" x14ac:dyDescent="0.25">
      <c r="F13" s="33"/>
    </row>
    <row r="14" spans="6:6" x14ac:dyDescent="0.25">
      <c r="F14" s="34"/>
    </row>
    <row r="15" spans="6:6" x14ac:dyDescent="0.25">
      <c r="F15" s="32"/>
    </row>
    <row r="16" spans="6:6" x14ac:dyDescent="0.25">
      <c r="F16" s="34"/>
    </row>
    <row r="17" spans="6:6" ht="15.75" thickBot="1" x14ac:dyDescent="0.3">
      <c r="F17" s="49"/>
    </row>
    <row r="18" spans="6:6" ht="15.75" thickTop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CommandButton20">
          <controlPr defaultSize="0" autoLine="0" r:id="rId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770" r:id="rId3" name="CommandButton20"/>
      </mc:Fallback>
    </mc:AlternateContent>
    <mc:AlternateContent xmlns:mc="http://schemas.openxmlformats.org/markup-compatibility/2006">
      <mc:Choice Requires="x14">
        <control shapeId="32769" r:id="rId5" name="CommandButton19">
          <controlPr defaultSize="0" autoLine="0" r:id="rId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769" r:id="rId5" name="CommandButton19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F1:H28"/>
  <sheetViews>
    <sheetView tabSelected="1" workbookViewId="0">
      <selection activeCell="K23" sqref="K23"/>
    </sheetView>
  </sheetViews>
  <sheetFormatPr defaultRowHeight="15" x14ac:dyDescent="0.25"/>
  <cols>
    <col min="6" max="8" width="15.7109375" customWidth="1"/>
  </cols>
  <sheetData>
    <row r="1" spans="6:8" ht="15.75" thickBot="1" x14ac:dyDescent="0.3"/>
    <row r="2" spans="6:8" ht="16.5" thickTop="1" thickBot="1" x14ac:dyDescent="0.3">
      <c r="F2" s="27" t="s">
        <v>121</v>
      </c>
      <c r="G2" s="27" t="s">
        <v>122</v>
      </c>
      <c r="H2" s="27" t="s">
        <v>120</v>
      </c>
    </row>
    <row r="3" spans="6:8" ht="15.75" thickTop="1" x14ac:dyDescent="0.25">
      <c r="F3" s="53">
        <v>45</v>
      </c>
      <c r="G3" s="50"/>
      <c r="H3" s="50"/>
    </row>
    <row r="4" spans="6:8" x14ac:dyDescent="0.25">
      <c r="F4" s="53">
        <v>37</v>
      </c>
      <c r="G4" s="50"/>
      <c r="H4" s="50"/>
    </row>
    <row r="5" spans="6:8" x14ac:dyDescent="0.25">
      <c r="F5" s="53">
        <v>69</v>
      </c>
      <c r="G5" s="51"/>
      <c r="H5" s="51"/>
    </row>
    <row r="6" spans="6:8" x14ac:dyDescent="0.25">
      <c r="F6" s="53">
        <v>94</v>
      </c>
      <c r="G6" s="51"/>
      <c r="H6" s="51"/>
    </row>
    <row r="7" spans="6:8" x14ac:dyDescent="0.25">
      <c r="F7" s="53">
        <v>31</v>
      </c>
      <c r="G7" s="50"/>
      <c r="H7" s="50"/>
    </row>
    <row r="8" spans="6:8" x14ac:dyDescent="0.25">
      <c r="F8" s="53">
        <v>95</v>
      </c>
      <c r="G8" s="51"/>
      <c r="H8" s="51"/>
    </row>
    <row r="9" spans="6:8" x14ac:dyDescent="0.25">
      <c r="F9" s="53">
        <v>13</v>
      </c>
      <c r="G9" s="50"/>
      <c r="H9" s="50"/>
    </row>
    <row r="10" spans="6:8" x14ac:dyDescent="0.25">
      <c r="F10" s="53">
        <v>10</v>
      </c>
      <c r="G10" s="50"/>
      <c r="H10" s="50"/>
    </row>
    <row r="11" spans="6:8" x14ac:dyDescent="0.25">
      <c r="F11" s="53">
        <v>76</v>
      </c>
      <c r="G11" s="51"/>
      <c r="H11" s="51"/>
    </row>
    <row r="12" spans="6:8" x14ac:dyDescent="0.25">
      <c r="F12" s="53">
        <v>43</v>
      </c>
      <c r="G12" s="50"/>
      <c r="H12" s="50"/>
    </row>
    <row r="13" spans="6:8" x14ac:dyDescent="0.25">
      <c r="F13" s="53">
        <v>39</v>
      </c>
      <c r="G13" s="50"/>
      <c r="H13" s="50"/>
    </row>
    <row r="14" spans="6:8" x14ac:dyDescent="0.25">
      <c r="F14" s="53">
        <v>24</v>
      </c>
      <c r="G14" s="50"/>
      <c r="H14" s="50"/>
    </row>
    <row r="15" spans="6:8" x14ac:dyDescent="0.25">
      <c r="F15" s="53">
        <v>50</v>
      </c>
      <c r="G15" s="50"/>
      <c r="H15" s="50"/>
    </row>
    <row r="16" spans="6:8" x14ac:dyDescent="0.25">
      <c r="F16" s="53">
        <v>61</v>
      </c>
      <c r="G16" s="51"/>
      <c r="H16" s="51"/>
    </row>
    <row r="17" spans="6:8" x14ac:dyDescent="0.25">
      <c r="F17" s="53">
        <v>96</v>
      </c>
      <c r="G17" s="51"/>
      <c r="H17" s="51"/>
    </row>
    <row r="18" spans="6:8" x14ac:dyDescent="0.25">
      <c r="F18" s="53">
        <v>74</v>
      </c>
      <c r="G18" s="51"/>
      <c r="H18" s="51"/>
    </row>
    <row r="19" spans="6:8" x14ac:dyDescent="0.25">
      <c r="F19" s="53">
        <v>68</v>
      </c>
      <c r="G19" s="51"/>
      <c r="H19" s="51"/>
    </row>
    <row r="20" spans="6:8" x14ac:dyDescent="0.25">
      <c r="F20" s="53">
        <v>31</v>
      </c>
      <c r="G20" s="50"/>
      <c r="H20" s="50"/>
    </row>
    <row r="21" spans="6:8" x14ac:dyDescent="0.25">
      <c r="F21" s="53">
        <v>47</v>
      </c>
      <c r="G21" s="50"/>
      <c r="H21" s="50"/>
    </row>
    <row r="22" spans="6:8" x14ac:dyDescent="0.25">
      <c r="F22" s="53">
        <v>49</v>
      </c>
      <c r="G22" s="50"/>
      <c r="H22" s="50"/>
    </row>
    <row r="23" spans="6:8" x14ac:dyDescent="0.25">
      <c r="F23" s="53">
        <v>43</v>
      </c>
      <c r="G23" s="50"/>
      <c r="H23" s="50"/>
    </row>
    <row r="24" spans="6:8" x14ac:dyDescent="0.25">
      <c r="F24" s="53">
        <v>35</v>
      </c>
      <c r="G24" s="50"/>
      <c r="H24" s="50"/>
    </row>
    <row r="25" spans="6:8" x14ac:dyDescent="0.25">
      <c r="F25" s="53">
        <v>50</v>
      </c>
      <c r="G25" s="50"/>
      <c r="H25" s="50"/>
    </row>
    <row r="26" spans="6:8" x14ac:dyDescent="0.25">
      <c r="F26" s="53">
        <v>44</v>
      </c>
      <c r="G26" s="50"/>
      <c r="H26" s="50"/>
    </row>
    <row r="27" spans="6:8" ht="15.75" thickBot="1" x14ac:dyDescent="0.3">
      <c r="F27" s="54">
        <v>34</v>
      </c>
      <c r="G27" s="52"/>
      <c r="H27" s="52"/>
    </row>
    <row r="28" spans="6:8" ht="15.75" thickTop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CommandButton18">
          <controlPr defaultSize="0" autoLine="0" r:id="rId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1746" r:id="rId3" name="CommandButton18"/>
      </mc:Fallback>
    </mc:AlternateContent>
    <mc:AlternateContent xmlns:mc="http://schemas.openxmlformats.org/markup-compatibility/2006">
      <mc:Choice Requires="x14">
        <control shapeId="31745" r:id="rId5" name="CommandButton17">
          <controlPr defaultSize="0" autoLine="0" r:id="rId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1745" r:id="rId5" name="CommandButton1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Student Info</vt:lpstr>
      <vt:lpstr>InClass UsrFrm</vt:lpstr>
      <vt:lpstr>HMUsrFrm</vt:lpstr>
      <vt:lpstr>Dec1</vt:lpstr>
      <vt:lpstr>Dec1_Changed</vt:lpstr>
      <vt:lpstr>Dec2</vt:lpstr>
      <vt:lpstr>Your Own Version of Dec2</vt:lpstr>
      <vt:lpstr>YourOwn_IF_Then</vt:lpstr>
      <vt:lpstr>ColorCode</vt:lpstr>
      <vt:lpstr>SimpForNext</vt:lpstr>
      <vt:lpstr>CountDown</vt:lpstr>
      <vt:lpstr>myFile</vt:lpstr>
      <vt:lpstr>RemoveDuplicates</vt:lpstr>
      <vt:lpstr>Addresses</vt:lpstr>
      <vt:lpstr>AddLoop</vt:lpstr>
      <vt:lpstr>CreateUROwnElseIF</vt:lpstr>
      <vt:lpstr>A0</vt:lpstr>
      <vt:lpstr>At</vt:lpstr>
      <vt:lpstr>Dh</vt:lpstr>
      <vt:lpstr>f</vt:lpstr>
      <vt:lpstr>goalerror</vt:lpstr>
      <vt:lpstr>k</vt:lpstr>
      <vt:lpstr>objective</vt:lpstr>
      <vt:lpstr>Re</vt:lpstr>
      <vt:lpstr>Rh</vt:lpstr>
      <vt:lpstr>t</vt:lpstr>
    </vt:vector>
  </TitlesOfParts>
  <Company>EGR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 McQuade</dc:creator>
  <cp:lastModifiedBy>Elena Russell</cp:lastModifiedBy>
  <cp:lastPrinted>2018-03-01T20:04:34Z</cp:lastPrinted>
  <dcterms:created xsi:type="dcterms:W3CDTF">2018-01-15T15:05:57Z</dcterms:created>
  <dcterms:modified xsi:type="dcterms:W3CDTF">2019-04-01T14:55:06Z</dcterms:modified>
</cp:coreProperties>
</file>